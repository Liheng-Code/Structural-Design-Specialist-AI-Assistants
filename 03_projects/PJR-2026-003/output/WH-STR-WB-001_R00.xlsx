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Calc" sheetId="3" state="visible" r:id="rId5"/>
    <sheet name="Outputs" sheetId="4" state="visible" r:id="rId6"/>
    <sheet name="Checks" sheetId="5" state="visible" r:id="rId7"/>
    <sheet name="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design basis M-REBAR (user-confirmed drawing value).</t>
        </r>
      </text>
    </comment>
  </commentList>
</comments>
</file>

<file path=xl/sharedStrings.xml><?xml version="1.0" encoding="utf-8"?>
<sst xmlns="http://schemas.openxmlformats.org/spreadsheetml/2006/main" count="296" uniqueCount="204">
  <si>
    <t xml:space="preserve">CALCULATION WORKBOOK - ANCHORAGE AND LAP LENGTHS</t>
  </si>
  <si>
    <t xml:space="preserve">PJR-2026-003_WAREHOUSE (STEAM BOILER)</t>
  </si>
  <si>
    <t xml:space="preserve">Workbook number</t>
  </si>
  <si>
    <t xml:space="preserve">WH-STR-WB-001</t>
  </si>
  <si>
    <t xml:space="preserve">Project</t>
  </si>
  <si>
    <t xml:space="preserve">PJR-2026-003 WAREHOUSE (STEAM BOILER)</t>
  </si>
  <si>
    <t xml:space="preserve">Client</t>
  </si>
  <si>
    <t xml:space="preserve">Mr. XXX</t>
  </si>
  <si>
    <t xml:space="preserve">Stage</t>
  </si>
  <si>
    <t xml:space="preserve">FOR APPROVAL</t>
  </si>
  <si>
    <t xml:space="preserve">Revision</t>
  </si>
  <si>
    <t xml:space="preserve">R00</t>
  </si>
  <si>
    <t xml:space="preserve">Issue date</t>
  </si>
  <si>
    <t xml:space="preserve">13-OCT-2026</t>
  </si>
  <si>
    <t xml:space="preserve">Design basis status</t>
  </si>
  <si>
    <t xml:space="preserve">DRAFT</t>
  </si>
  <si>
    <t xml:space="preserve">Prepared by</t>
  </si>
  <si>
    <t xml:space="preserve">P.LIHENG</t>
  </si>
  <si>
    <t xml:space="preserve">Checked by</t>
  </si>
  <si>
    <t xml:space="preserve">Approved by</t>
  </si>
  <si>
    <t xml:space="preserve">STATUS</t>
  </si>
  <si>
    <t xml:space="preserve">Stamp</t>
  </si>
  <si>
    <t xml:space="preserve">Colour legend</t>
  </si>
  <si>
    <t xml:space="preserve">Blue text on yellow</t>
  </si>
  <si>
    <t xml:space="preserve">Input - the only cells to edit (Inputs sheet, plus Checked/Approved by above)</t>
  </si>
  <si>
    <t xml:space="preserve">Black text</t>
  </si>
  <si>
    <t xml:space="preserve">Formula or fixed label - do not overwrite</t>
  </si>
  <si>
    <t xml:space="preserve">Sheets</t>
  </si>
  <si>
    <t xml:space="preserve">Inputs</t>
  </si>
  <si>
    <t xml:space="preserve">all typed values with unit, source, status</t>
  </si>
  <si>
    <t xml:space="preserve">Calc</t>
  </si>
  <si>
    <t xml:space="preserve">formulas only</t>
  </si>
  <si>
    <t xml:space="preserve">Outputs</t>
  </si>
  <si>
    <t xml:space="preserve">results and reconciliation with SD-004</t>
  </si>
  <si>
    <t xml:space="preserve">Checks</t>
  </si>
  <si>
    <t xml:space="preserve">hand-calculated tests</t>
  </si>
  <si>
    <t xml:space="preserve">Log</t>
  </si>
  <si>
    <t xml:space="preserve">change log</t>
  </si>
  <si>
    <t xml:space="preserve">Limits: one check only (basic anchorage/lap length). Not a complete design. Status is never 'validated' without a named reviewer.</t>
  </si>
  <si>
    <t xml:space="preserve">INPUTS - EN 1992-1-1 anchorage and lap lengths</t>
  </si>
  <si>
    <t xml:space="preserve">Blue cells on yellow are the only cells to edit. Every value has a unit, source and status.</t>
  </si>
  <si>
    <t xml:space="preserve">Symbol</t>
  </si>
  <si>
    <t xml:space="preserve">Description</t>
  </si>
  <si>
    <t xml:space="preserve">Value</t>
  </si>
  <si>
    <t xml:space="preserve">Unit</t>
  </si>
  <si>
    <t xml:space="preserve">Source</t>
  </si>
  <si>
    <t xml:space="preserve">Status</t>
  </si>
  <si>
    <t xml:space="preserve">Material inputs</t>
  </si>
  <si>
    <t xml:space="preserve">concrete class</t>
  </si>
  <si>
    <t xml:space="preserve">Concrete strength class</t>
  </si>
  <si>
    <t xml:space="preserve">C30/37</t>
  </si>
  <si>
    <t xml:space="preserve">-</t>
  </si>
  <si>
    <t xml:space="preserve">design basis M-CONC-PILE (SD-004 section A)</t>
  </si>
  <si>
    <t xml:space="preserve">confirmed</t>
  </si>
  <si>
    <t xml:space="preserve">fyk</t>
  </si>
  <si>
    <t xml:space="preserve">Characteristic yield strength of reinforcement</t>
  </si>
  <si>
    <t xml:space="preserve">MPa</t>
  </si>
  <si>
    <t xml:space="preserve">design basis M-REBAR (SD-004 section A)</t>
  </si>
  <si>
    <t xml:space="preserve">fctk,0.05 override</t>
  </si>
  <si>
    <t xml:space="preserve">Leave BLANK to use EN 1992-1-1 Table 3.1 (table below)</t>
  </si>
  <si>
    <t xml:space="preserve">User option</t>
  </si>
  <si>
    <t xml:space="preserve">fctk,0.05 drawing basis</t>
  </si>
  <si>
    <t xml:space="preserve">Value implied by SD-004 (fbd = 3.04 MPa): 0.7 x fctm, fctm = 2.9 MPa</t>
  </si>
  <si>
    <t xml:space="preserve">WH-STR-SD-004 section C note; EN 1992-1-1 Table 3.1 (fctm)</t>
  </si>
  <si>
    <t xml:space="preserve">Partial factors and coefficients (CEN recommended values, no National Annex)</t>
  </si>
  <si>
    <t xml:space="preserve">gamma_c</t>
  </si>
  <si>
    <t xml:space="preserve">Partial factor, concrete</t>
  </si>
  <si>
    <t xml:space="preserve">EN 1992-1-1 Table 2.1N (CEN recommended)</t>
  </si>
  <si>
    <t xml:space="preserve">gamma_s</t>
  </si>
  <si>
    <t xml:space="preserve">Partial factor, reinforcing steel</t>
  </si>
  <si>
    <t xml:space="preserve">alpha_ct</t>
  </si>
  <si>
    <t xml:space="preserve">Long-term effects coefficient on tensile strength</t>
  </si>
  <si>
    <t xml:space="preserve">EN 1992-1-1 3.1.6(2)P (CEN recommended)</t>
  </si>
  <si>
    <t xml:space="preserve">alpha_6</t>
  </si>
  <si>
    <t xml:space="preserve">Lap factor, 50 % of bars lapped in the section</t>
  </si>
  <si>
    <t xml:space="preserve">EN 1992-1-1 Table 8.3</t>
  </si>
  <si>
    <t xml:space="preserve">Expression constants (EN 1992-1-1 eq. 8.2 and 3.1)</t>
  </si>
  <si>
    <t xml:space="preserve">2.25</t>
  </si>
  <si>
    <t xml:space="preserve">Coefficient in fbd = 2.25 x eta1 x eta2 x fctd</t>
  </si>
  <si>
    <t xml:space="preserve">EN 1992-1-1 eq. 8.2</t>
  </si>
  <si>
    <t xml:space="preserve">eta1 good</t>
  </si>
  <si>
    <t xml:space="preserve">Bond condition coefficient, good</t>
  </si>
  <si>
    <t xml:space="preserve">EN 1992-1-1 8.4.2(2)</t>
  </si>
  <si>
    <t xml:space="preserve">eta1 poor</t>
  </si>
  <si>
    <t xml:space="preserve">Bond condition coefficient, poor</t>
  </si>
  <si>
    <t xml:space="preserve">eta2 limit</t>
  </si>
  <si>
    <t xml:space="preserve">Bar diameter up to which eta2 = 1.0</t>
  </si>
  <si>
    <t xml:space="preserve">mm</t>
  </si>
  <si>
    <t xml:space="preserve">eta2 a</t>
  </si>
  <si>
    <t xml:space="preserve">eta2 = (a - phi)/b for phi above the limit: a</t>
  </si>
  <si>
    <t xml:space="preserve">eta2 b</t>
  </si>
  <si>
    <t xml:space="preserve">eta2 = (a - phi)/b: b</t>
  </si>
  <si>
    <t xml:space="preserve">EN 1992-1-1 Table 3.1: fctk,0.05 by class (extend only with values read from the standard)</t>
  </si>
  <si>
    <t xml:space="preserve">C25/30</t>
  </si>
  <si>
    <t xml:space="preserve">fctk,0.05</t>
  </si>
  <si>
    <t xml:space="preserve">EN 1992-1-1 Table 3.1</t>
  </si>
  <si>
    <t xml:space="preserve">C35/45</t>
  </si>
  <si>
    <t xml:space="preserve">C40/50</t>
  </si>
  <si>
    <t xml:space="preserve">Bar diameters (up to 8; leave unused rows blank)</t>
  </si>
  <si>
    <t xml:space="preserve">bar 1</t>
  </si>
  <si>
    <t xml:space="preserve">Bar diameter</t>
  </si>
  <si>
    <t xml:space="preserve">Project reinforcement schedule</t>
  </si>
  <si>
    <t xml:space="preserve">bar 2</t>
  </si>
  <si>
    <t xml:space="preserve">bar 3</t>
  </si>
  <si>
    <t xml:space="preserve">bar 4</t>
  </si>
  <si>
    <t xml:space="preserve">bar 5</t>
  </si>
  <si>
    <t xml:space="preserve">bar 6</t>
  </si>
  <si>
    <t xml:space="preserve">bar 7</t>
  </si>
  <si>
    <t xml:space="preserve">bar 8</t>
  </si>
  <si>
    <t xml:space="preserve">Drawing values for reconciliation: WH-STR-SD-004 section C (leave blank to skip)</t>
  </si>
  <si>
    <t xml:space="preserve">Bar</t>
  </si>
  <si>
    <t xml:space="preserve">lbd good (mm)</t>
  </si>
  <si>
    <t xml:space="preserve">lbd poor (mm)</t>
  </si>
  <si>
    <t xml:space="preserve">lap l0 good (mm)</t>
  </si>
  <si>
    <t xml:space="preserve">mandrel (mm)</t>
  </si>
  <si>
    <t xml:space="preserve">Reconciliation tolerance (drawing values are rounded on no single increment)</t>
  </si>
  <si>
    <t xml:space="preserve">tol_abs</t>
  </si>
  <si>
    <t xml:space="preserve">Absolute tolerance</t>
  </si>
  <si>
    <t xml:space="preserve">Engineering judgement set in this workbook - confirm</t>
  </si>
  <si>
    <t xml:space="preserve">assumed</t>
  </si>
  <si>
    <t xml:space="preserve">tol_rel</t>
  </si>
  <si>
    <t xml:space="preserve">Relative tolerance (larger of the two applies)</t>
  </si>
  <si>
    <t xml:space="preserve">CALC - formulas only (no typed numbers)</t>
  </si>
  <si>
    <t xml:space="preserve">Clause references in the last column. Stresses MPa, lengths mm.</t>
  </si>
  <si>
    <t xml:space="preserve">Quantity</t>
  </si>
  <si>
    <t xml:space="preserve">Expression / clause</t>
  </si>
  <si>
    <t xml:space="preserve">fctk,0.05 used</t>
  </si>
  <si>
    <t xml:space="preserve">Table 3.1, or override</t>
  </si>
  <si>
    <t xml:space="preserve">fctd</t>
  </si>
  <si>
    <t xml:space="preserve">EN 1992-1-1 eq. 3.16: alpha_ct x fctk,0.05 / gamma_c</t>
  </si>
  <si>
    <t xml:space="preserve">fyd = sigma_sd</t>
  </si>
  <si>
    <t xml:space="preserve">fyk / gamma_s</t>
  </si>
  <si>
    <t xml:space="preserve">fctd, drawing basis</t>
  </si>
  <si>
    <t xml:space="preserve">as above with fctk,0.05 = drawing basis</t>
  </si>
  <si>
    <t xml:space="preserve">eq. 8.2: fbd = 2.25 x eta1 x eta2 x fctd;  eq. 8.3: lb,rqd = (phi/4) x sigma_sd / fbd;  lap = alpha_6 x lb,rqd</t>
  </si>
  <si>
    <t xml:space="preserve">Bar phi (mm)</t>
  </si>
  <si>
    <t xml:space="preserve">eta2</t>
  </si>
  <si>
    <t xml:space="preserve">fbd good (MPa)</t>
  </si>
  <si>
    <t xml:space="preserve">fbd poor (MPa)</t>
  </si>
  <si>
    <t xml:space="preserve">lb,rqd good (mm)</t>
  </si>
  <si>
    <t xml:space="preserve">lb,rqd poor (mm)</t>
  </si>
  <si>
    <t xml:space="preserve">lb good, dwg basis</t>
  </si>
  <si>
    <t xml:space="preserve">lb poor, dwg basis</t>
  </si>
  <si>
    <t xml:space="preserve">lap good, dwg basis</t>
  </si>
  <si>
    <t xml:space="preserve">Scope: basic required length only (alpha_1 to alpha_5 = 1.0, lb,min not applied); straight bars; CEN recommended values.</t>
  </si>
  <si>
    <t xml:space="preserve">OUTPUTS</t>
  </si>
  <si>
    <t xml:space="preserve">Results on the selected basis, and reconciliation with the drawing table on the drawing's own basis.</t>
  </si>
  <si>
    <t xml:space="preserve">Bar (mm)</t>
  </si>
  <si>
    <t xml:space="preserve">lb good (mm)</t>
  </si>
  <si>
    <t xml:space="preserve">lb poor (mm)</t>
  </si>
  <si>
    <t xml:space="preserve">lap good (mm)</t>
  </si>
  <si>
    <t xml:space="preserve">Dwg lbd good</t>
  </si>
  <si>
    <t xml:space="preserve">Dev (dwg-calc)</t>
  </si>
  <si>
    <t xml:space="preserve">Within tol?</t>
  </si>
  <si>
    <t xml:space="preserve">Dwg lbd poor</t>
  </si>
  <si>
    <t xml:space="preserve">Dev</t>
  </si>
  <si>
    <t xml:space="preserve">Dwg lap good</t>
  </si>
  <si>
    <t xml:space="preserve">All drawing values within tolerance (drawing basis)?</t>
  </si>
  <si>
    <t xml:space="preserve">Dev columns compare the drawing with the calculation on the drawing basis (fctk,0.05 = Inputs C8); columns B-D use the basis selected on Inputs (Table 3.1 unless overridden).</t>
  </si>
  <si>
    <t xml:space="preserve">Mandrel check (EN 1992-1-1 8.3(1)): 4 phi for phi &lt;= 16 mm, 7 phi above</t>
  </si>
  <si>
    <t xml:space="preserve">EN mandrel (mm)</t>
  </si>
  <si>
    <t xml:space="preserve">Drawing (mm)</t>
  </si>
  <si>
    <t xml:space="preserve">Matches?</t>
  </si>
  <si>
    <t xml:space="preserve">Mandrel rule values 16 / 4 / 7 are EN 1992-1-1 Table 8.1 constants; they are the only typed numbers outside Inputs and are not design inputs.</t>
  </si>
  <si>
    <t xml:space="preserve">CHECKS - independent hand calculations vs workbook results</t>
  </si>
  <si>
    <t xml:space="preserve">Expected values were worked by hand for the baseline inputs below. If inputs change, checks show N/A (they no longer apply).</t>
  </si>
  <si>
    <t xml:space="preserve">Baseline inputs in use?</t>
  </si>
  <si>
    <t xml:space="preserve">ID</t>
  </si>
  <si>
    <t xml:space="preserve">Test</t>
  </si>
  <si>
    <t xml:space="preserve">Expected (hand)</t>
  </si>
  <si>
    <t xml:space="preserve">Workbook</t>
  </si>
  <si>
    <t xml:space="preserve">Difference</t>
  </si>
  <si>
    <t xml:space="preserve">Tolerance</t>
  </si>
  <si>
    <t xml:space="preserve">Result</t>
  </si>
  <si>
    <t xml:space="preserve">Hand calculation</t>
  </si>
  <si>
    <t xml:space="preserve">T1</t>
  </si>
  <si>
    <t xml:space="preserve">fctd, C30/37</t>
  </si>
  <si>
    <t xml:space="preserve">2.0 / 1.5</t>
  </si>
  <si>
    <t xml:space="preserve">T2</t>
  </si>
  <si>
    <t xml:space="preserve">fyd, fyk = 390 MPa</t>
  </si>
  <si>
    <t xml:space="preserve">390 / 1.15</t>
  </si>
  <si>
    <t xml:space="preserve">T3</t>
  </si>
  <si>
    <t xml:space="preserve">fbd good bond, phi 12 (MPa)</t>
  </si>
  <si>
    <t xml:space="preserve">2.25 x 1.0 x 1.0 x 1.333333</t>
  </si>
  <si>
    <t xml:space="preserve">T4</t>
  </si>
  <si>
    <t xml:space="preserve">fbd poor bond, phi 12 (MPa)</t>
  </si>
  <si>
    <t xml:space="preserve">0.7 x 3.000</t>
  </si>
  <si>
    <t xml:space="preserve">T5</t>
  </si>
  <si>
    <t xml:space="preserve">lb,rqd good, phi 12 (mm)</t>
  </si>
  <si>
    <t xml:space="preserve">(12/4) x 339.1304 / 3.000</t>
  </si>
  <si>
    <t xml:space="preserve">T6</t>
  </si>
  <si>
    <t xml:space="preserve">lb,rqd poor, phi 12 (mm)</t>
  </si>
  <si>
    <t xml:space="preserve">(12/4) x 339.1304 / 2.100</t>
  </si>
  <si>
    <t xml:space="preserve">T7</t>
  </si>
  <si>
    <t xml:space="preserve">lap l0 good, phi 12 (mm)</t>
  </si>
  <si>
    <t xml:space="preserve">1.5 x 339.1304</t>
  </si>
  <si>
    <t xml:space="preserve">T8</t>
  </si>
  <si>
    <t xml:space="preserve">lb,rqd good, phi 25 (mm)</t>
  </si>
  <si>
    <t xml:space="preserve">(25/4) x 339.1304 / 3.000</t>
  </si>
  <si>
    <t xml:space="preserve">Date</t>
  </si>
  <si>
    <t xml:space="preserve">Change</t>
  </si>
  <si>
    <t xml:space="preserve">By</t>
  </si>
  <si>
    <t xml:space="preserve">Workbook generated by tools/xlsxgen/build_anchorage_workbook.py; recalculated and verified by verify_workbook.py</t>
  </si>
  <si>
    <t xml:space="preserve">Claude (generator)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</si>
</sst>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"/>
    <numFmt numFmtId="167" formatCode="0"/>
    <numFmt numFmtId="168" formatCode="0.0%"/>
    <numFmt numFmtId="169" formatCode="0.000"/>
    <numFmt numFmtId="170" formatCode="\+0.0;\-0.0;0.0"/>
    <numFmt numFmtId="171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D9D9D9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5"/>
    </row>
    <row r="13" customFormat="false" ht="15" hidden="false" customHeight="false" outlineLevel="0" collapsed="false">
      <c r="A13" s="3" t="s">
        <v>19</v>
      </c>
      <c r="B13" s="5"/>
    </row>
    <row r="15" customFormat="false" ht="15" hidden="false" customHeight="false" outlineLevel="0" collapsed="false">
      <c r="A15" s="6" t="s">
        <v>20</v>
      </c>
      <c r="B15" s="7" t="str">
        <f aca="false">IF(COUNTIF(Checks!G5:G12,"FAIL")&gt;0,"CHECKS FAILING - DO NOT USE",IF(COUNTIF(Checks!G5:G12,"PASS")=0,"UNVERIFIED - inputs differ from the checked baseline",IF(B12="","CROSS-CHECKED - NOT ENGINEER-REVIEWED","REVIEWED BY "&amp;B12)))</f>
        <v>CROSS-CHECKED - NOT ENGINEER-REVIEWED</v>
      </c>
    </row>
    <row r="16" customFormat="false" ht="15" hidden="false" customHeight="false" outlineLevel="0" collapsed="false">
      <c r="A16" s="8" t="s">
        <v>21</v>
      </c>
      <c r="B16" s="9" t="str">
        <f aca="false">IF(B10="APPROVED","","DRAFT - NOT FOR ISSUE")</f>
        <v>DRAFT - NOT FOR ISSUE</v>
      </c>
    </row>
    <row r="18" customFormat="false" ht="15" hidden="false" customHeight="false" outlineLevel="0" collapsed="false">
      <c r="A18" s="8" t="s">
        <v>22</v>
      </c>
    </row>
    <row r="19" customFormat="false" ht="15" hidden="false" customHeight="false" outlineLevel="0" collapsed="false">
      <c r="A19" s="10" t="s">
        <v>23</v>
      </c>
      <c r="B19" s="11" t="s">
        <v>24</v>
      </c>
    </row>
    <row r="20" customFormat="false" ht="15" hidden="false" customHeight="false" outlineLevel="0" collapsed="false">
      <c r="A20" s="11" t="s">
        <v>25</v>
      </c>
      <c r="B20" s="11" t="s">
        <v>26</v>
      </c>
    </row>
    <row r="22" customFormat="false" ht="15" hidden="false" customHeight="false" outlineLevel="0" collapsed="false">
      <c r="A22" s="8" t="s">
        <v>27</v>
      </c>
    </row>
    <row r="23" customFormat="false" ht="15" hidden="false" customHeight="false" outlineLevel="0" collapsed="false">
      <c r="A23" s="11" t="s">
        <v>28</v>
      </c>
      <c r="B23" s="11" t="s">
        <v>29</v>
      </c>
    </row>
    <row r="24" customFormat="false" ht="15" hidden="false" customHeight="false" outlineLevel="0" collapsed="false">
      <c r="A24" s="11" t="s">
        <v>30</v>
      </c>
      <c r="B24" s="11" t="s">
        <v>31</v>
      </c>
    </row>
    <row r="25" customFormat="false" ht="15" hidden="false" customHeight="false" outlineLevel="0" collapsed="false">
      <c r="A25" s="11" t="s">
        <v>32</v>
      </c>
      <c r="B25" s="11" t="s">
        <v>33</v>
      </c>
    </row>
    <row r="26" customFormat="false" ht="15" hidden="false" customHeight="false" outlineLevel="0" collapsed="false">
      <c r="A26" s="11" t="s">
        <v>34</v>
      </c>
      <c r="B26" s="11" t="s">
        <v>35</v>
      </c>
    </row>
    <row r="27" customFormat="false" ht="15" hidden="false" customHeight="false" outlineLevel="0" collapsed="false">
      <c r="A27" s="11" t="s">
        <v>36</v>
      </c>
      <c r="B27" s="11" t="s">
        <v>37</v>
      </c>
    </row>
    <row r="29" customFormat="false" ht="30" hidden="false" customHeight="true" outlineLevel="0" collapsed="false">
      <c r="A29" s="12" t="s">
        <v>38</v>
      </c>
      <c r="B29" s="12"/>
    </row>
  </sheetData>
  <mergeCells count="1"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3" t="s">
        <v>39</v>
      </c>
    </row>
    <row r="2" customFormat="false" ht="15" hidden="false" customHeight="false" outlineLevel="0" collapsed="false">
      <c r="A2" s="14" t="s">
        <v>40</v>
      </c>
    </row>
    <row r="3" customFormat="false" ht="15" hidden="false" customHeight="false" outlineLevel="0" collapsed="false">
      <c r="A3" s="15" t="s">
        <v>41</v>
      </c>
      <c r="B3" s="15" t="s">
        <v>42</v>
      </c>
      <c r="C3" s="15" t="s">
        <v>43</v>
      </c>
      <c r="D3" s="15" t="s">
        <v>44</v>
      </c>
      <c r="E3" s="15" t="s">
        <v>45</v>
      </c>
      <c r="F3" s="15" t="s">
        <v>46</v>
      </c>
    </row>
    <row r="4" customFormat="false" ht="15" hidden="false" customHeight="false" outlineLevel="0" collapsed="false">
      <c r="A4" s="16" t="s">
        <v>47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4" t="s">
        <v>48</v>
      </c>
      <c r="B5" s="18" t="s">
        <v>49</v>
      </c>
      <c r="C5" s="5" t="s">
        <v>50</v>
      </c>
      <c r="D5" s="4" t="s">
        <v>51</v>
      </c>
      <c r="E5" s="18" t="s">
        <v>52</v>
      </c>
      <c r="F5" s="4" t="s">
        <v>53</v>
      </c>
    </row>
    <row r="6" customFormat="false" ht="15" hidden="false" customHeight="false" outlineLevel="0" collapsed="false">
      <c r="A6" s="4" t="s">
        <v>54</v>
      </c>
      <c r="B6" s="18" t="s">
        <v>55</v>
      </c>
      <c r="C6" s="19" t="n">
        <v>390</v>
      </c>
      <c r="D6" s="4" t="s">
        <v>56</v>
      </c>
      <c r="E6" s="18" t="s">
        <v>57</v>
      </c>
      <c r="F6" s="4" t="s">
        <v>53</v>
      </c>
    </row>
    <row r="7" customFormat="false" ht="23.85" hidden="false" customHeight="false" outlineLevel="0" collapsed="false">
      <c r="A7" s="4" t="s">
        <v>58</v>
      </c>
      <c r="B7" s="18" t="s">
        <v>59</v>
      </c>
      <c r="C7" s="20"/>
      <c r="D7" s="4" t="s">
        <v>56</v>
      </c>
      <c r="E7" s="18" t="s">
        <v>60</v>
      </c>
      <c r="F7" s="4" t="s">
        <v>51</v>
      </c>
    </row>
    <row r="8" customFormat="false" ht="23.85" hidden="false" customHeight="false" outlineLevel="0" collapsed="false">
      <c r="A8" s="4" t="s">
        <v>61</v>
      </c>
      <c r="B8" s="18" t="s">
        <v>62</v>
      </c>
      <c r="C8" s="20" t="n">
        <v>2.03</v>
      </c>
      <c r="D8" s="4" t="s">
        <v>56</v>
      </c>
      <c r="E8" s="18" t="s">
        <v>63</v>
      </c>
      <c r="F8" s="4" t="s">
        <v>53</v>
      </c>
    </row>
    <row r="9" customFormat="false" ht="15" hidden="false" customHeight="false" outlineLevel="0" collapsed="false">
      <c r="A9" s="16" t="s">
        <v>64</v>
      </c>
      <c r="B9" s="17"/>
      <c r="C9" s="17"/>
      <c r="D9" s="17"/>
      <c r="E9" s="17"/>
      <c r="F9" s="17"/>
    </row>
    <row r="10" customFormat="false" ht="15" hidden="false" customHeight="false" outlineLevel="0" collapsed="false">
      <c r="A10" s="4" t="s">
        <v>65</v>
      </c>
      <c r="B10" s="18" t="s">
        <v>66</v>
      </c>
      <c r="C10" s="20" t="n">
        <v>1.5</v>
      </c>
      <c r="D10" s="4" t="s">
        <v>51</v>
      </c>
      <c r="E10" s="18" t="s">
        <v>67</v>
      </c>
      <c r="F10" s="4" t="s">
        <v>53</v>
      </c>
    </row>
    <row r="11" customFormat="false" ht="15" hidden="false" customHeight="false" outlineLevel="0" collapsed="false">
      <c r="A11" s="4" t="s">
        <v>68</v>
      </c>
      <c r="B11" s="18" t="s">
        <v>69</v>
      </c>
      <c r="C11" s="20" t="n">
        <v>1.15</v>
      </c>
      <c r="D11" s="4" t="s">
        <v>51</v>
      </c>
      <c r="E11" s="18" t="s">
        <v>67</v>
      </c>
      <c r="F11" s="4" t="s">
        <v>53</v>
      </c>
    </row>
    <row r="12" customFormat="false" ht="15" hidden="false" customHeight="false" outlineLevel="0" collapsed="false">
      <c r="A12" s="4" t="s">
        <v>70</v>
      </c>
      <c r="B12" s="18" t="s">
        <v>71</v>
      </c>
      <c r="C12" s="20" t="n">
        <v>1</v>
      </c>
      <c r="D12" s="4" t="s">
        <v>51</v>
      </c>
      <c r="E12" s="18" t="s">
        <v>72</v>
      </c>
      <c r="F12" s="4" t="s">
        <v>53</v>
      </c>
    </row>
    <row r="13" customFormat="false" ht="15" hidden="false" customHeight="false" outlineLevel="0" collapsed="false">
      <c r="A13" s="4" t="s">
        <v>73</v>
      </c>
      <c r="B13" s="18" t="s">
        <v>74</v>
      </c>
      <c r="C13" s="20" t="n">
        <v>1.5</v>
      </c>
      <c r="D13" s="4" t="s">
        <v>51</v>
      </c>
      <c r="E13" s="18" t="s">
        <v>75</v>
      </c>
      <c r="F13" s="4" t="s">
        <v>53</v>
      </c>
    </row>
    <row r="15" customFormat="false" ht="15" hidden="false" customHeight="false" outlineLevel="0" collapsed="false">
      <c r="A15" s="16" t="s">
        <v>76</v>
      </c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4" t="s">
        <v>77</v>
      </c>
      <c r="B16" s="18" t="s">
        <v>78</v>
      </c>
      <c r="C16" s="20" t="n">
        <v>2.25</v>
      </c>
      <c r="D16" s="4" t="s">
        <v>51</v>
      </c>
      <c r="E16" s="18" t="s">
        <v>79</v>
      </c>
      <c r="F16" s="4" t="s">
        <v>53</v>
      </c>
    </row>
    <row r="17" customFormat="false" ht="15" hidden="false" customHeight="false" outlineLevel="0" collapsed="false">
      <c r="A17" s="4" t="s">
        <v>80</v>
      </c>
      <c r="B17" s="18" t="s">
        <v>81</v>
      </c>
      <c r="C17" s="19" t="n">
        <v>1</v>
      </c>
      <c r="D17" s="4" t="s">
        <v>51</v>
      </c>
      <c r="E17" s="18" t="s">
        <v>82</v>
      </c>
      <c r="F17" s="4" t="s">
        <v>53</v>
      </c>
    </row>
    <row r="18" customFormat="false" ht="15" hidden="false" customHeight="false" outlineLevel="0" collapsed="false">
      <c r="A18" s="4" t="s">
        <v>83</v>
      </c>
      <c r="B18" s="18" t="s">
        <v>84</v>
      </c>
      <c r="C18" s="19" t="n">
        <v>0.7</v>
      </c>
      <c r="D18" s="4" t="s">
        <v>51</v>
      </c>
      <c r="E18" s="18" t="s">
        <v>82</v>
      </c>
      <c r="F18" s="4" t="s">
        <v>53</v>
      </c>
    </row>
    <row r="19" customFormat="false" ht="15" hidden="false" customHeight="false" outlineLevel="0" collapsed="false">
      <c r="A19" s="4" t="s">
        <v>85</v>
      </c>
      <c r="B19" s="18" t="s">
        <v>86</v>
      </c>
      <c r="C19" s="21" t="n">
        <v>32</v>
      </c>
      <c r="D19" s="4" t="s">
        <v>87</v>
      </c>
      <c r="E19" s="18" t="s">
        <v>82</v>
      </c>
      <c r="F19" s="4" t="s">
        <v>53</v>
      </c>
    </row>
    <row r="20" customFormat="false" ht="15" hidden="false" customHeight="false" outlineLevel="0" collapsed="false">
      <c r="A20" s="4" t="s">
        <v>88</v>
      </c>
      <c r="B20" s="18" t="s">
        <v>89</v>
      </c>
      <c r="C20" s="21" t="n">
        <v>132</v>
      </c>
      <c r="D20" s="4" t="s">
        <v>87</v>
      </c>
      <c r="E20" s="18" t="s">
        <v>82</v>
      </c>
      <c r="F20" s="4" t="s">
        <v>53</v>
      </c>
    </row>
    <row r="21" customFormat="false" ht="15" hidden="false" customHeight="false" outlineLevel="0" collapsed="false">
      <c r="A21" s="4" t="s">
        <v>90</v>
      </c>
      <c r="B21" s="18" t="s">
        <v>91</v>
      </c>
      <c r="C21" s="21" t="n">
        <v>100</v>
      </c>
      <c r="D21" s="4" t="s">
        <v>51</v>
      </c>
      <c r="E21" s="18" t="s">
        <v>82</v>
      </c>
      <c r="F21" s="4" t="s">
        <v>53</v>
      </c>
    </row>
    <row r="23" customFormat="false" ht="15" hidden="false" customHeight="false" outlineLevel="0" collapsed="false">
      <c r="A23" s="16" t="s">
        <v>92</v>
      </c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4" t="s">
        <v>93</v>
      </c>
      <c r="B24" s="4" t="s">
        <v>94</v>
      </c>
      <c r="C24" s="19" t="n">
        <v>1.8</v>
      </c>
      <c r="D24" s="4" t="s">
        <v>56</v>
      </c>
      <c r="E24" s="4" t="s">
        <v>95</v>
      </c>
      <c r="F24" s="4" t="s">
        <v>53</v>
      </c>
    </row>
    <row r="25" customFormat="false" ht="15" hidden="false" customHeight="false" outlineLevel="0" collapsed="false">
      <c r="A25" s="4" t="s">
        <v>50</v>
      </c>
      <c r="B25" s="4" t="s">
        <v>94</v>
      </c>
      <c r="C25" s="19" t="n">
        <v>2</v>
      </c>
      <c r="D25" s="4" t="s">
        <v>56</v>
      </c>
      <c r="E25" s="4" t="s">
        <v>95</v>
      </c>
      <c r="F25" s="4" t="s">
        <v>53</v>
      </c>
    </row>
    <row r="26" customFormat="false" ht="15" hidden="false" customHeight="false" outlineLevel="0" collapsed="false">
      <c r="A26" s="4" t="s">
        <v>96</v>
      </c>
      <c r="B26" s="4" t="s">
        <v>94</v>
      </c>
      <c r="C26" s="19" t="n">
        <v>2.2</v>
      </c>
      <c r="D26" s="4" t="s">
        <v>56</v>
      </c>
      <c r="E26" s="4" t="s">
        <v>95</v>
      </c>
      <c r="F26" s="4" t="s">
        <v>53</v>
      </c>
    </row>
    <row r="27" customFormat="false" ht="15" hidden="false" customHeight="false" outlineLevel="0" collapsed="false">
      <c r="A27" s="4" t="s">
        <v>97</v>
      </c>
      <c r="B27" s="4" t="s">
        <v>94</v>
      </c>
      <c r="C27" s="19" t="n">
        <v>2.5</v>
      </c>
      <c r="D27" s="4" t="s">
        <v>56</v>
      </c>
      <c r="E27" s="4" t="s">
        <v>95</v>
      </c>
      <c r="F27" s="4" t="s">
        <v>53</v>
      </c>
    </row>
    <row r="29" customFormat="false" ht="15" hidden="false" customHeight="false" outlineLevel="0" collapsed="false">
      <c r="A29" s="16" t="s">
        <v>98</v>
      </c>
      <c r="B29" s="17"/>
      <c r="C29" s="17"/>
      <c r="D29" s="17"/>
      <c r="E29" s="17"/>
      <c r="F29" s="17"/>
    </row>
    <row r="30" customFormat="false" ht="15" hidden="false" customHeight="false" outlineLevel="0" collapsed="false">
      <c r="A30" s="4" t="s">
        <v>99</v>
      </c>
      <c r="B30" s="4" t="s">
        <v>100</v>
      </c>
      <c r="C30" s="21" t="n">
        <v>10</v>
      </c>
      <c r="D30" s="4" t="s">
        <v>87</v>
      </c>
      <c r="E30" s="4" t="s">
        <v>101</v>
      </c>
      <c r="F30" s="4" t="s">
        <v>53</v>
      </c>
    </row>
    <row r="31" customFormat="false" ht="15" hidden="false" customHeight="false" outlineLevel="0" collapsed="false">
      <c r="A31" s="4" t="s">
        <v>102</v>
      </c>
      <c r="B31" s="4" t="s">
        <v>100</v>
      </c>
      <c r="C31" s="21" t="n">
        <v>12</v>
      </c>
      <c r="D31" s="4" t="s">
        <v>87</v>
      </c>
      <c r="E31" s="4" t="s">
        <v>101</v>
      </c>
      <c r="F31" s="4" t="s">
        <v>53</v>
      </c>
    </row>
    <row r="32" customFormat="false" ht="15" hidden="false" customHeight="false" outlineLevel="0" collapsed="false">
      <c r="A32" s="4" t="s">
        <v>103</v>
      </c>
      <c r="B32" s="4" t="s">
        <v>100</v>
      </c>
      <c r="C32" s="21" t="n">
        <v>16</v>
      </c>
      <c r="D32" s="4" t="s">
        <v>87</v>
      </c>
      <c r="E32" s="4" t="s">
        <v>101</v>
      </c>
      <c r="F32" s="4" t="s">
        <v>53</v>
      </c>
    </row>
    <row r="33" customFormat="false" ht="15" hidden="false" customHeight="false" outlineLevel="0" collapsed="false">
      <c r="A33" s="4" t="s">
        <v>104</v>
      </c>
      <c r="B33" s="4" t="s">
        <v>100</v>
      </c>
      <c r="C33" s="21" t="n">
        <v>20</v>
      </c>
      <c r="D33" s="4" t="s">
        <v>87</v>
      </c>
      <c r="E33" s="4" t="s">
        <v>101</v>
      </c>
      <c r="F33" s="4" t="s">
        <v>53</v>
      </c>
    </row>
    <row r="34" customFormat="false" ht="15" hidden="false" customHeight="false" outlineLevel="0" collapsed="false">
      <c r="A34" s="4" t="s">
        <v>105</v>
      </c>
      <c r="B34" s="4" t="s">
        <v>100</v>
      </c>
      <c r="C34" s="21" t="n">
        <v>25</v>
      </c>
      <c r="D34" s="4" t="s">
        <v>87</v>
      </c>
      <c r="E34" s="4" t="s">
        <v>101</v>
      </c>
      <c r="F34" s="4" t="s">
        <v>53</v>
      </c>
    </row>
    <row r="35" customFormat="false" ht="15" hidden="false" customHeight="false" outlineLevel="0" collapsed="false">
      <c r="A35" s="4" t="s">
        <v>106</v>
      </c>
      <c r="B35" s="4" t="s">
        <v>100</v>
      </c>
      <c r="C35" s="21"/>
      <c r="D35" s="4" t="s">
        <v>87</v>
      </c>
      <c r="E35" s="4"/>
      <c r="F35" s="4"/>
    </row>
    <row r="36" customFormat="false" ht="15" hidden="false" customHeight="false" outlineLevel="0" collapsed="false">
      <c r="A36" s="4" t="s">
        <v>107</v>
      </c>
      <c r="B36" s="4" t="s">
        <v>100</v>
      </c>
      <c r="C36" s="21"/>
      <c r="D36" s="4" t="s">
        <v>87</v>
      </c>
      <c r="E36" s="4"/>
      <c r="F36" s="4"/>
    </row>
    <row r="37" customFormat="false" ht="15" hidden="false" customHeight="false" outlineLevel="0" collapsed="false">
      <c r="A37" s="4" t="s">
        <v>108</v>
      </c>
      <c r="B37" s="4" t="s">
        <v>100</v>
      </c>
      <c r="C37" s="21"/>
      <c r="D37" s="4" t="s">
        <v>87</v>
      </c>
      <c r="E37" s="4"/>
      <c r="F37" s="4"/>
    </row>
    <row r="39" customFormat="false" ht="15" hidden="false" customHeight="false" outlineLevel="0" collapsed="false">
      <c r="A39" s="16" t="s">
        <v>109</v>
      </c>
      <c r="B39" s="17"/>
      <c r="C39" s="17"/>
      <c r="D39" s="17"/>
      <c r="E39" s="17"/>
      <c r="F39" s="17"/>
    </row>
    <row r="40" customFormat="false" ht="23.85" hidden="false" customHeight="false" outlineLevel="0" collapsed="false">
      <c r="A40" s="15" t="s">
        <v>110</v>
      </c>
      <c r="B40" s="15"/>
      <c r="C40" s="15" t="s">
        <v>111</v>
      </c>
      <c r="D40" s="15" t="s">
        <v>112</v>
      </c>
      <c r="E40" s="15" t="s">
        <v>113</v>
      </c>
      <c r="F40" s="15" t="s">
        <v>114</v>
      </c>
    </row>
    <row r="41" customFormat="false" ht="15" hidden="false" customHeight="false" outlineLevel="0" collapsed="false">
      <c r="A41" s="4" t="s">
        <v>99</v>
      </c>
      <c r="C41" s="21" t="n">
        <v>280</v>
      </c>
      <c r="D41" s="21" t="n">
        <v>400</v>
      </c>
      <c r="E41" s="21" t="n">
        <v>420</v>
      </c>
      <c r="F41" s="21" t="n">
        <v>40</v>
      </c>
    </row>
    <row r="42" customFormat="false" ht="15" hidden="false" customHeight="false" outlineLevel="0" collapsed="false">
      <c r="A42" s="4" t="s">
        <v>102</v>
      </c>
      <c r="C42" s="21" t="n">
        <v>335</v>
      </c>
      <c r="D42" s="21" t="n">
        <v>480</v>
      </c>
      <c r="E42" s="21" t="n">
        <v>505</v>
      </c>
      <c r="F42" s="21" t="n">
        <v>48</v>
      </c>
    </row>
    <row r="43" customFormat="false" ht="15" hidden="false" customHeight="false" outlineLevel="0" collapsed="false">
      <c r="A43" s="4" t="s">
        <v>103</v>
      </c>
      <c r="C43" s="21" t="n">
        <v>445</v>
      </c>
      <c r="D43" s="21" t="n">
        <v>640</v>
      </c>
      <c r="E43" s="21" t="n">
        <v>670</v>
      </c>
      <c r="F43" s="21" t="n">
        <v>64</v>
      </c>
    </row>
    <row r="44" customFormat="false" ht="15" hidden="false" customHeight="false" outlineLevel="0" collapsed="false">
      <c r="A44" s="4" t="s">
        <v>104</v>
      </c>
      <c r="C44" s="21" t="n">
        <v>560</v>
      </c>
      <c r="D44" s="21" t="n">
        <v>800</v>
      </c>
      <c r="E44" s="21" t="n">
        <v>840</v>
      </c>
      <c r="F44" s="21" t="n">
        <v>140</v>
      </c>
    </row>
    <row r="45" customFormat="false" ht="15" hidden="false" customHeight="false" outlineLevel="0" collapsed="false">
      <c r="A45" s="4" t="s">
        <v>105</v>
      </c>
      <c r="C45" s="21" t="n">
        <v>700</v>
      </c>
      <c r="D45" s="21" t="n">
        <v>1000</v>
      </c>
      <c r="E45" s="21" t="n">
        <v>1050</v>
      </c>
      <c r="F45" s="21" t="n">
        <v>175</v>
      </c>
    </row>
    <row r="46" customFormat="false" ht="15" hidden="false" customHeight="false" outlineLevel="0" collapsed="false">
      <c r="A46" s="4" t="s">
        <v>106</v>
      </c>
      <c r="C46" s="21"/>
      <c r="D46" s="21"/>
      <c r="E46" s="21"/>
      <c r="F46" s="21"/>
    </row>
    <row r="47" customFormat="false" ht="15" hidden="false" customHeight="false" outlineLevel="0" collapsed="false">
      <c r="A47" s="4" t="s">
        <v>107</v>
      </c>
      <c r="C47" s="21"/>
      <c r="D47" s="21"/>
      <c r="E47" s="21"/>
      <c r="F47" s="21"/>
    </row>
    <row r="48" customFormat="false" ht="15" hidden="false" customHeight="false" outlineLevel="0" collapsed="false">
      <c r="A48" s="4" t="s">
        <v>108</v>
      </c>
      <c r="C48" s="21"/>
      <c r="D48" s="21"/>
      <c r="E48" s="21"/>
      <c r="F48" s="21"/>
    </row>
    <row r="50" customFormat="false" ht="15" hidden="false" customHeight="false" outlineLevel="0" collapsed="false">
      <c r="A50" s="16" t="s">
        <v>115</v>
      </c>
      <c r="B50" s="17"/>
      <c r="C50" s="17"/>
      <c r="D50" s="17"/>
      <c r="E50" s="17"/>
      <c r="F50" s="17"/>
    </row>
    <row r="51" customFormat="false" ht="15" hidden="false" customHeight="false" outlineLevel="0" collapsed="false">
      <c r="A51" s="4" t="s">
        <v>116</v>
      </c>
      <c r="B51" s="18" t="s">
        <v>117</v>
      </c>
      <c r="C51" s="21" t="n">
        <v>5</v>
      </c>
      <c r="D51" s="4" t="s">
        <v>87</v>
      </c>
      <c r="E51" s="18" t="s">
        <v>118</v>
      </c>
      <c r="F51" s="4" t="s">
        <v>119</v>
      </c>
    </row>
    <row r="52" customFormat="false" ht="15" hidden="false" customHeight="false" outlineLevel="0" collapsed="false">
      <c r="A52" s="4" t="s">
        <v>120</v>
      </c>
      <c r="B52" s="18" t="s">
        <v>121</v>
      </c>
      <c r="C52" s="22" t="n">
        <v>0.01</v>
      </c>
      <c r="D52" s="4" t="s">
        <v>51</v>
      </c>
      <c r="E52" s="18" t="s">
        <v>118</v>
      </c>
      <c r="F52" s="4" t="s">
        <v>119</v>
      </c>
    </row>
  </sheetData>
  <dataValidations count="5">
    <dataValidation allowBlank="false" error="Pick a class listed in the Table 3.1 block." errorStyle="stop" errorTitle="Concrete class" operator="between" showDropDown="false" showErrorMessage="true" showInputMessage="false" sqref="C5" type="list">
      <formula1>$A$24:$A$27</formula1>
      <formula2>0</formula2>
    </dataValidation>
    <dataValidation allowBlank="false" error="fyk must be 200-700 MPa." errorStyle="stop" errorTitle="fyk" operator="between" showDropDown="false" showErrorMessage="true" showInputMessage="false" sqref="C6" type="decimal">
      <formula1>200</formula1>
      <formula2>700</formula2>
    </dataValidation>
    <dataValidation allowBlank="true" error="Enter 0.5-5 MPa or leave blank." errorStyle="stop" errorTitle="fctk,0.05" operator="between" showDropDown="false" showErrorMessage="true" showInputMessage="false" sqref="C7:C8" type="decimal">
      <formula1>0.5</formula1>
      <formula2>5</formula2>
    </dataValidation>
    <dataValidation allowBlank="false" error="Factor must be 0.5-3." errorStyle="stop" errorTitle="Factor" operator="between" showDropDown="false" showErrorMessage="true" showInputMessage="false" sqref="C10:C13" type="decimal">
      <formula1>0.5</formula1>
      <formula2>3</formula2>
    </dataValidation>
    <dataValidation allowBlank="true" error="Bar diameter must be 6-50 mm or blank." errorStyle="stop" errorTitle="Bar diameter" operator="between" showDropDown="false" showErrorMessage="true" showInputMessage="false" sqref="C30:C37" type="decimal">
      <formula1>6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11" min="5" style="0" width="16"/>
  </cols>
  <sheetData>
    <row r="1" customFormat="false" ht="15" hidden="false" customHeight="false" outlineLevel="0" collapsed="false">
      <c r="A1" s="13" t="s">
        <v>122</v>
      </c>
    </row>
    <row r="2" customFormat="false" ht="15" hidden="false" customHeight="false" outlineLevel="0" collapsed="false">
      <c r="A2" s="14" t="s">
        <v>123</v>
      </c>
    </row>
    <row r="3" customFormat="false" ht="23.85" hidden="false" customHeight="false" outlineLevel="0" collapsed="false">
      <c r="A3" s="15" t="s">
        <v>124</v>
      </c>
      <c r="B3" s="15"/>
      <c r="C3" s="15" t="s">
        <v>43</v>
      </c>
      <c r="D3" s="15" t="s">
        <v>44</v>
      </c>
      <c r="E3" s="15" t="s">
        <v>125</v>
      </c>
    </row>
    <row r="4" customFormat="false" ht="15" hidden="false" customHeight="false" outlineLevel="0" collapsed="false">
      <c r="A4" s="4" t="s">
        <v>126</v>
      </c>
      <c r="C4" s="23" t="n">
        <f aca="false">IF(Inputs!$C$7&lt;&gt;"",Inputs!$C$7,INDEX(Inputs!$C$24:$C$27,MATCH(Inputs!$C$5,Inputs!$A$24:$A$27,0)))</f>
        <v>2</v>
      </c>
      <c r="D4" s="11" t="s">
        <v>56</v>
      </c>
      <c r="E4" s="11" t="s">
        <v>127</v>
      </c>
    </row>
    <row r="5" customFormat="false" ht="15" hidden="false" customHeight="false" outlineLevel="0" collapsed="false">
      <c r="A5" s="4" t="s">
        <v>128</v>
      </c>
      <c r="C5" s="23" t="n">
        <f aca="false">Inputs!$C$12*C4/Inputs!$C$10</f>
        <v>1.33333333333333</v>
      </c>
      <c r="D5" s="11" t="s">
        <v>56</v>
      </c>
      <c r="E5" s="11" t="s">
        <v>129</v>
      </c>
    </row>
    <row r="6" customFormat="false" ht="15" hidden="false" customHeight="false" outlineLevel="0" collapsed="false">
      <c r="A6" s="4" t="s">
        <v>130</v>
      </c>
      <c r="C6" s="24" t="n">
        <f aca="false">Inputs!$C$6/Inputs!$C$11</f>
        <v>339.130434782609</v>
      </c>
      <c r="D6" s="11" t="s">
        <v>56</v>
      </c>
      <c r="E6" s="11" t="s">
        <v>131</v>
      </c>
    </row>
    <row r="7" customFormat="false" ht="15" hidden="false" customHeight="false" outlineLevel="0" collapsed="false">
      <c r="A7" s="4" t="s">
        <v>132</v>
      </c>
      <c r="C7" s="23" t="n">
        <f aca="false">Inputs!$C$12*Inputs!$C$8/Inputs!$C$10</f>
        <v>1.35333333333333</v>
      </c>
      <c r="D7" s="11" t="s">
        <v>56</v>
      </c>
      <c r="E7" s="11" t="s">
        <v>133</v>
      </c>
    </row>
    <row r="8" customFormat="false" ht="15" hidden="false" customHeight="false" outlineLevel="0" collapsed="false">
      <c r="A8" s="14" t="s">
        <v>134</v>
      </c>
    </row>
    <row r="9" customFormat="false" ht="23.85" hidden="false" customHeight="false" outlineLevel="0" collapsed="false">
      <c r="A9" s="15" t="s">
        <v>135</v>
      </c>
      <c r="B9" s="15" t="s">
        <v>136</v>
      </c>
      <c r="C9" s="15" t="s">
        <v>137</v>
      </c>
      <c r="D9" s="15" t="s">
        <v>138</v>
      </c>
      <c r="E9" s="15" t="s">
        <v>139</v>
      </c>
      <c r="F9" s="15" t="s">
        <v>140</v>
      </c>
      <c r="G9" s="15" t="s">
        <v>113</v>
      </c>
      <c r="H9" s="15" t="s">
        <v>141</v>
      </c>
      <c r="I9" s="15" t="s">
        <v>142</v>
      </c>
      <c r="J9" s="15" t="s">
        <v>143</v>
      </c>
    </row>
    <row r="10" customFormat="false" ht="15" hidden="false" customHeight="false" outlineLevel="0" collapsed="false">
      <c r="A10" s="25" t="n">
        <f aca="false">IF(Inputs!$C$30="","",Inputs!$C$30)</f>
        <v>10</v>
      </c>
      <c r="B10" s="26" t="n">
        <f aca="false">IF($A10="","",IF($A10&lt;=Inputs!$C$19,1,(Inputs!$C$20-$A10)/Inputs!$C$21))</f>
        <v>1</v>
      </c>
      <c r="C10" s="23" t="n">
        <f aca="false">IF($A10="","",Inputs!$C$16*Inputs!$C$17*B10*$C$5)</f>
        <v>3</v>
      </c>
      <c r="D10" s="23" t="n">
        <f aca="false">IF($A10="","",Inputs!$C$16*Inputs!$C$18*B10*$C$5)</f>
        <v>2.1</v>
      </c>
      <c r="E10" s="24" t="n">
        <f aca="false">IF($A10="","",$A10/4*$C$6/C10)</f>
        <v>282.608695652174</v>
      </c>
      <c r="F10" s="24" t="n">
        <f aca="false">IF($A10="","",$A10/4*$C$6/D10)</f>
        <v>403.726708074534</v>
      </c>
      <c r="G10" s="24" t="n">
        <f aca="false">IF($A10="","",Inputs!$C$13*E10)</f>
        <v>423.913043478261</v>
      </c>
      <c r="H10" s="24" t="n">
        <f aca="false">IF($A10="","",$A10/4*$C$6/(Inputs!$C$16*Inputs!$C$17*B10*$C$7))</f>
        <v>278.432212465196</v>
      </c>
      <c r="I10" s="24" t="n">
        <f aca="false">IF($A10="","",$A10/4*$C$6/(Inputs!$C$16*Inputs!$C$18*B10*$C$7))</f>
        <v>397.760303521709</v>
      </c>
      <c r="J10" s="24" t="n">
        <f aca="false">IF($A10="","",Inputs!$C$13*H10)</f>
        <v>417.648318697794</v>
      </c>
    </row>
    <row r="11" customFormat="false" ht="15" hidden="false" customHeight="false" outlineLevel="0" collapsed="false">
      <c r="A11" s="25" t="n">
        <f aca="false">IF(Inputs!$C$31="","",Inputs!$C$31)</f>
        <v>12</v>
      </c>
      <c r="B11" s="26" t="n">
        <f aca="false">IF($A11="","",IF($A11&lt;=Inputs!$C$19,1,(Inputs!$C$20-$A11)/Inputs!$C$21))</f>
        <v>1</v>
      </c>
      <c r="C11" s="23" t="n">
        <f aca="false">IF($A11="","",Inputs!$C$16*Inputs!$C$17*B11*$C$5)</f>
        <v>3</v>
      </c>
      <c r="D11" s="23" t="n">
        <f aca="false">IF($A11="","",Inputs!$C$16*Inputs!$C$18*B11*$C$5)</f>
        <v>2.1</v>
      </c>
      <c r="E11" s="24" t="n">
        <f aca="false">IF($A11="","",$A11/4*$C$6/C11)</f>
        <v>339.130434782609</v>
      </c>
      <c r="F11" s="24" t="n">
        <f aca="false">IF($A11="","",$A11/4*$C$6/D11)</f>
        <v>484.472049689441</v>
      </c>
      <c r="G11" s="24" t="n">
        <f aca="false">IF($A11="","",Inputs!$C$13*E11)</f>
        <v>508.695652173913</v>
      </c>
      <c r="H11" s="24" t="n">
        <f aca="false">IF($A11="","",$A11/4*$C$6/(Inputs!$C$16*Inputs!$C$17*B11*$C$7))</f>
        <v>334.118654958235</v>
      </c>
      <c r="I11" s="24" t="n">
        <f aca="false">IF($A11="","",$A11/4*$C$6/(Inputs!$C$16*Inputs!$C$18*B11*$C$7))</f>
        <v>477.31236422605</v>
      </c>
      <c r="J11" s="24" t="n">
        <f aca="false">IF($A11="","",Inputs!$C$13*H11)</f>
        <v>501.177982437353</v>
      </c>
    </row>
    <row r="12" customFormat="false" ht="15" hidden="false" customHeight="false" outlineLevel="0" collapsed="false">
      <c r="A12" s="25" t="n">
        <f aca="false">IF(Inputs!$C$32="","",Inputs!$C$32)</f>
        <v>16</v>
      </c>
      <c r="B12" s="26" t="n">
        <f aca="false">IF($A12="","",IF($A12&lt;=Inputs!$C$19,1,(Inputs!$C$20-$A12)/Inputs!$C$21))</f>
        <v>1</v>
      </c>
      <c r="C12" s="23" t="n">
        <f aca="false">IF($A12="","",Inputs!$C$16*Inputs!$C$17*B12*$C$5)</f>
        <v>3</v>
      </c>
      <c r="D12" s="23" t="n">
        <f aca="false">IF($A12="","",Inputs!$C$16*Inputs!$C$18*B12*$C$5)</f>
        <v>2.1</v>
      </c>
      <c r="E12" s="24" t="n">
        <f aca="false">IF($A12="","",$A12/4*$C$6/C12)</f>
        <v>452.173913043478</v>
      </c>
      <c r="F12" s="24" t="n">
        <f aca="false">IF($A12="","",$A12/4*$C$6/D12)</f>
        <v>645.962732919255</v>
      </c>
      <c r="G12" s="24" t="n">
        <f aca="false">IF($A12="","",Inputs!$C$13*E12)</f>
        <v>678.260869565218</v>
      </c>
      <c r="H12" s="24" t="n">
        <f aca="false">IF($A12="","",$A12/4*$C$6/(Inputs!$C$16*Inputs!$C$17*B12*$C$7))</f>
        <v>445.491539944314</v>
      </c>
      <c r="I12" s="24" t="n">
        <f aca="false">IF($A12="","",$A12/4*$C$6/(Inputs!$C$16*Inputs!$C$18*B12*$C$7))</f>
        <v>636.416485634734</v>
      </c>
      <c r="J12" s="24" t="n">
        <f aca="false">IF($A12="","",Inputs!$C$13*H12)</f>
        <v>668.23730991647</v>
      </c>
    </row>
    <row r="13" customFormat="false" ht="15" hidden="false" customHeight="false" outlineLevel="0" collapsed="false">
      <c r="A13" s="25" t="n">
        <f aca="false">IF(Inputs!$C$33="","",Inputs!$C$33)</f>
        <v>20</v>
      </c>
      <c r="B13" s="26" t="n">
        <f aca="false">IF($A13="","",IF($A13&lt;=Inputs!$C$19,1,(Inputs!$C$20-$A13)/Inputs!$C$21))</f>
        <v>1</v>
      </c>
      <c r="C13" s="23" t="n">
        <f aca="false">IF($A13="","",Inputs!$C$16*Inputs!$C$17*B13*$C$5)</f>
        <v>3</v>
      </c>
      <c r="D13" s="23" t="n">
        <f aca="false">IF($A13="","",Inputs!$C$16*Inputs!$C$18*B13*$C$5)</f>
        <v>2.1</v>
      </c>
      <c r="E13" s="24" t="n">
        <f aca="false">IF($A13="","",$A13/4*$C$6/C13)</f>
        <v>565.217391304348</v>
      </c>
      <c r="F13" s="24" t="n">
        <f aca="false">IF($A13="","",$A13/4*$C$6/D13)</f>
        <v>807.453416149069</v>
      </c>
      <c r="G13" s="24" t="n">
        <f aca="false">IF($A13="","",Inputs!$C$13*E13)</f>
        <v>847.826086956522</v>
      </c>
      <c r="H13" s="24" t="n">
        <f aca="false">IF($A13="","",$A13/4*$C$6/(Inputs!$C$16*Inputs!$C$17*B13*$C$7))</f>
        <v>556.864424930392</v>
      </c>
      <c r="I13" s="24" t="n">
        <f aca="false">IF($A13="","",$A13/4*$C$6/(Inputs!$C$16*Inputs!$C$18*B13*$C$7))</f>
        <v>795.520607043417</v>
      </c>
      <c r="J13" s="24" t="n">
        <f aca="false">IF($A13="","",Inputs!$C$13*H13)</f>
        <v>835.296637395588</v>
      </c>
    </row>
    <row r="14" customFormat="false" ht="15" hidden="false" customHeight="false" outlineLevel="0" collapsed="false">
      <c r="A14" s="25" t="n">
        <f aca="false">IF(Inputs!$C$34="","",Inputs!$C$34)</f>
        <v>25</v>
      </c>
      <c r="B14" s="26" t="n">
        <f aca="false">IF($A14="","",IF($A14&lt;=Inputs!$C$19,1,(Inputs!$C$20-$A14)/Inputs!$C$21))</f>
        <v>1</v>
      </c>
      <c r="C14" s="23" t="n">
        <f aca="false">IF($A14="","",Inputs!$C$16*Inputs!$C$17*B14*$C$5)</f>
        <v>3</v>
      </c>
      <c r="D14" s="23" t="n">
        <f aca="false">IF($A14="","",Inputs!$C$16*Inputs!$C$18*B14*$C$5)</f>
        <v>2.1</v>
      </c>
      <c r="E14" s="24" t="n">
        <f aca="false">IF($A14="","",$A14/4*$C$6/C14)</f>
        <v>706.521739130435</v>
      </c>
      <c r="F14" s="24" t="n">
        <f aca="false">IF($A14="","",$A14/4*$C$6/D14)</f>
        <v>1009.31677018634</v>
      </c>
      <c r="G14" s="24" t="n">
        <f aca="false">IF($A14="","",Inputs!$C$13*E14)</f>
        <v>1059.78260869565</v>
      </c>
      <c r="H14" s="24" t="n">
        <f aca="false">IF($A14="","",$A14/4*$C$6/(Inputs!$C$16*Inputs!$C$17*B14*$C$7))</f>
        <v>696.08053116299</v>
      </c>
      <c r="I14" s="24" t="n">
        <f aca="false">IF($A14="","",$A14/4*$C$6/(Inputs!$C$16*Inputs!$C$18*B14*$C$7))</f>
        <v>994.400758804271</v>
      </c>
      <c r="J14" s="24" t="n">
        <f aca="false">IF($A14="","",Inputs!$C$13*H14)</f>
        <v>1044.12079674449</v>
      </c>
    </row>
    <row r="15" customFormat="false" ht="15" hidden="false" customHeight="false" outlineLevel="0" collapsed="false">
      <c r="A15" s="25" t="str">
        <f aca="false">IF(Inputs!$C$35="","",Inputs!$C$35)</f>
        <v/>
      </c>
      <c r="B15" s="26" t="str">
        <f aca="false">IF($A15="","",IF($A15&lt;=Inputs!$C$19,1,(Inputs!$C$20-$A15)/Inputs!$C$21))</f>
        <v/>
      </c>
      <c r="C15" s="23" t="str">
        <f aca="false">IF($A15="","",Inputs!$C$16*Inputs!$C$17*B15*$C$5)</f>
        <v/>
      </c>
      <c r="D15" s="23" t="str">
        <f aca="false">IF($A15="","",Inputs!$C$16*Inputs!$C$18*B15*$C$5)</f>
        <v/>
      </c>
      <c r="E15" s="24" t="str">
        <f aca="false">IF($A15="","",$A15/4*$C$6/C15)</f>
        <v/>
      </c>
      <c r="F15" s="24" t="str">
        <f aca="false">IF($A15="","",$A15/4*$C$6/D15)</f>
        <v/>
      </c>
      <c r="G15" s="24" t="str">
        <f aca="false">IF($A15="","",Inputs!$C$13*E15)</f>
        <v/>
      </c>
      <c r="H15" s="24" t="str">
        <f aca="false">IF($A15="","",$A15/4*$C$6/(Inputs!$C$16*Inputs!$C$17*B15*$C$7))</f>
        <v/>
      </c>
      <c r="I15" s="24" t="str">
        <f aca="false">IF($A15="","",$A15/4*$C$6/(Inputs!$C$16*Inputs!$C$18*B15*$C$7))</f>
        <v/>
      </c>
      <c r="J15" s="24" t="str">
        <f aca="false">IF($A15="","",Inputs!$C$13*H15)</f>
        <v/>
      </c>
    </row>
    <row r="16" customFormat="false" ht="15" hidden="false" customHeight="false" outlineLevel="0" collapsed="false">
      <c r="A16" s="25" t="str">
        <f aca="false">IF(Inputs!$C$36="","",Inputs!$C$36)</f>
        <v/>
      </c>
      <c r="B16" s="26" t="str">
        <f aca="false">IF($A16="","",IF($A16&lt;=Inputs!$C$19,1,(Inputs!$C$20-$A16)/Inputs!$C$21))</f>
        <v/>
      </c>
      <c r="C16" s="23" t="str">
        <f aca="false">IF($A16="","",Inputs!$C$16*Inputs!$C$17*B16*$C$5)</f>
        <v/>
      </c>
      <c r="D16" s="23" t="str">
        <f aca="false">IF($A16="","",Inputs!$C$16*Inputs!$C$18*B16*$C$5)</f>
        <v/>
      </c>
      <c r="E16" s="24" t="str">
        <f aca="false">IF($A16="","",$A16/4*$C$6/C16)</f>
        <v/>
      </c>
      <c r="F16" s="24" t="str">
        <f aca="false">IF($A16="","",$A16/4*$C$6/D16)</f>
        <v/>
      </c>
      <c r="G16" s="24" t="str">
        <f aca="false">IF($A16="","",Inputs!$C$13*E16)</f>
        <v/>
      </c>
      <c r="H16" s="24" t="str">
        <f aca="false">IF($A16="","",$A16/4*$C$6/(Inputs!$C$16*Inputs!$C$17*B16*$C$7))</f>
        <v/>
      </c>
      <c r="I16" s="24" t="str">
        <f aca="false">IF($A16="","",$A16/4*$C$6/(Inputs!$C$16*Inputs!$C$18*B16*$C$7))</f>
        <v/>
      </c>
      <c r="J16" s="24" t="str">
        <f aca="false">IF($A16="","",Inputs!$C$13*H16)</f>
        <v/>
      </c>
    </row>
    <row r="17" customFormat="false" ht="15" hidden="false" customHeight="false" outlineLevel="0" collapsed="false">
      <c r="A17" s="25" t="str">
        <f aca="false">IF(Inputs!$C$37="","",Inputs!$C$37)</f>
        <v/>
      </c>
      <c r="B17" s="26" t="str">
        <f aca="false">IF($A17="","",IF($A17&lt;=Inputs!$C$19,1,(Inputs!$C$20-$A17)/Inputs!$C$21))</f>
        <v/>
      </c>
      <c r="C17" s="23" t="str">
        <f aca="false">IF($A17="","",Inputs!$C$16*Inputs!$C$17*B17*$C$5)</f>
        <v/>
      </c>
      <c r="D17" s="23" t="str">
        <f aca="false">IF($A17="","",Inputs!$C$16*Inputs!$C$18*B17*$C$5)</f>
        <v/>
      </c>
      <c r="E17" s="24" t="str">
        <f aca="false">IF($A17="","",$A17/4*$C$6/C17)</f>
        <v/>
      </c>
      <c r="F17" s="24" t="str">
        <f aca="false">IF($A17="","",$A17/4*$C$6/D17)</f>
        <v/>
      </c>
      <c r="G17" s="24" t="str">
        <f aca="false">IF($A17="","",Inputs!$C$13*E17)</f>
        <v/>
      </c>
      <c r="H17" s="24" t="str">
        <f aca="false">IF($A17="","",$A17/4*$C$6/(Inputs!$C$16*Inputs!$C$17*B17*$C$7))</f>
        <v/>
      </c>
      <c r="I17" s="24" t="str">
        <f aca="false">IF($A17="","",$A17/4*$C$6/(Inputs!$C$16*Inputs!$C$18*B17*$C$7))</f>
        <v/>
      </c>
      <c r="J17" s="24" t="str">
        <f aca="false">IF($A17="","",Inputs!$C$13*H17)</f>
        <v/>
      </c>
    </row>
    <row r="19" customFormat="false" ht="15" hidden="false" customHeight="false" outlineLevel="0" collapsed="false">
      <c r="A19" s="14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3" t="s">
        <v>145</v>
      </c>
    </row>
    <row r="2" customFormat="false" ht="15" hidden="false" customHeight="false" outlineLevel="0" collapsed="false">
      <c r="A2" s="14" t="s">
        <v>146</v>
      </c>
    </row>
    <row r="4" customFormat="false" ht="23.85" hidden="false" customHeight="false" outlineLevel="0" collapsed="false">
      <c r="A4" s="15" t="s">
        <v>147</v>
      </c>
      <c r="B4" s="15" t="s">
        <v>148</v>
      </c>
      <c r="C4" s="15" t="s">
        <v>149</v>
      </c>
      <c r="D4" s="15" t="s">
        <v>150</v>
      </c>
      <c r="E4" s="15" t="s">
        <v>151</v>
      </c>
      <c r="F4" s="15" t="s">
        <v>152</v>
      </c>
      <c r="G4" s="15" t="s">
        <v>153</v>
      </c>
      <c r="H4" s="15" t="s">
        <v>154</v>
      </c>
      <c r="I4" s="15" t="s">
        <v>155</v>
      </c>
      <c r="J4" s="15" t="s">
        <v>153</v>
      </c>
      <c r="K4" s="15" t="s">
        <v>156</v>
      </c>
      <c r="L4" s="15" t="s">
        <v>155</v>
      </c>
      <c r="M4" s="15" t="s">
        <v>153</v>
      </c>
    </row>
    <row r="5" customFormat="false" ht="15" hidden="false" customHeight="false" outlineLevel="0" collapsed="false">
      <c r="A5" s="25" t="n">
        <f aca="false">Calc!A10</f>
        <v>10</v>
      </c>
      <c r="B5" s="25" t="n">
        <f aca="false">Calc!E10</f>
        <v>282.608695652174</v>
      </c>
      <c r="C5" s="25" t="n">
        <f aca="false">Calc!F10</f>
        <v>403.726708074534</v>
      </c>
      <c r="D5" s="25" t="n">
        <f aca="false">Calc!G10</f>
        <v>423.913043478261</v>
      </c>
      <c r="E5" s="25" t="n">
        <f aca="false">IF(Inputs!$C$41="","",Inputs!$C$41)</f>
        <v>280</v>
      </c>
      <c r="F5" s="27" t="n">
        <f aca="false">IF(OR(E5="",Calc!$A10=""),"",E5-Calc!$H10)</f>
        <v>1.56778753480398</v>
      </c>
      <c r="G5" s="28" t="str">
        <f aca="false">IF(F5="","",IF(ABS(F5)&lt;=MAX(Inputs!$C$51,Inputs!$C$52*Calc!$H10),"YES","NO"))</f>
        <v>YES</v>
      </c>
      <c r="H5" s="25" t="n">
        <f aca="false">IF(Inputs!$D$41="","",Inputs!$D$41)</f>
        <v>400</v>
      </c>
      <c r="I5" s="27" t="n">
        <f aca="false">IF(OR(H5="",Calc!$A10=""),"",H5-Calc!$I10)</f>
        <v>2.23969647829142</v>
      </c>
      <c r="J5" s="28" t="str">
        <f aca="false">IF(I5="","",IF(ABS(I5)&lt;=MAX(Inputs!$C$51,Inputs!$C$52*Calc!$I10),"YES","NO"))</f>
        <v>YES</v>
      </c>
      <c r="K5" s="25" t="n">
        <f aca="false">IF(Inputs!$E$41="","",Inputs!$E$41)</f>
        <v>420</v>
      </c>
      <c r="L5" s="27" t="n">
        <f aca="false">IF(OR(K5="",Calc!$A10=""),"",K5-Calc!$J10)</f>
        <v>2.35168130220598</v>
      </c>
      <c r="M5" s="28" t="str">
        <f aca="false">IF(L5="","",IF(ABS(L5)&lt;=MAX(Inputs!$C$51,Inputs!$C$52*Calc!$J10),"YES","NO"))</f>
        <v>YES</v>
      </c>
    </row>
    <row r="6" customFormat="false" ht="15" hidden="false" customHeight="false" outlineLevel="0" collapsed="false">
      <c r="A6" s="25" t="n">
        <f aca="false">Calc!A11</f>
        <v>12</v>
      </c>
      <c r="B6" s="25" t="n">
        <f aca="false">Calc!E11</f>
        <v>339.130434782609</v>
      </c>
      <c r="C6" s="25" t="n">
        <f aca="false">Calc!F11</f>
        <v>484.472049689441</v>
      </c>
      <c r="D6" s="25" t="n">
        <f aca="false">Calc!G11</f>
        <v>508.695652173913</v>
      </c>
      <c r="E6" s="25" t="n">
        <f aca="false">IF(Inputs!$C$42="","",Inputs!$C$42)</f>
        <v>335</v>
      </c>
      <c r="F6" s="27" t="n">
        <f aca="false">IF(OR(E6="",Calc!$A11=""),"",E6-Calc!$H11)</f>
        <v>0.881345041764803</v>
      </c>
      <c r="G6" s="28" t="str">
        <f aca="false">IF(F6="","",IF(ABS(F6)&lt;=MAX(Inputs!$C$51,Inputs!$C$52*Calc!$H11),"YES","NO"))</f>
        <v>YES</v>
      </c>
      <c r="H6" s="25" t="n">
        <f aca="false">IF(Inputs!$D$42="","",Inputs!$D$42)</f>
        <v>480</v>
      </c>
      <c r="I6" s="27" t="n">
        <f aca="false">IF(OR(H6="",Calc!$A11=""),"",H6-Calc!$I11)</f>
        <v>2.68763577394969</v>
      </c>
      <c r="J6" s="28" t="str">
        <f aca="false">IF(I6="","",IF(ABS(I6)&lt;=MAX(Inputs!$C$51,Inputs!$C$52*Calc!$I11),"YES","NO"))</f>
        <v>YES</v>
      </c>
      <c r="K6" s="25" t="n">
        <f aca="false">IF(Inputs!$E$42="","",Inputs!$E$42)</f>
        <v>505</v>
      </c>
      <c r="L6" s="27" t="n">
        <f aca="false">IF(OR(K6="",Calc!$A11=""),"",K6-Calc!$J11)</f>
        <v>3.8220175626472</v>
      </c>
      <c r="M6" s="28" t="str">
        <f aca="false">IF(L6="","",IF(ABS(L6)&lt;=MAX(Inputs!$C$51,Inputs!$C$52*Calc!$J11),"YES","NO"))</f>
        <v>YES</v>
      </c>
    </row>
    <row r="7" customFormat="false" ht="15" hidden="false" customHeight="false" outlineLevel="0" collapsed="false">
      <c r="A7" s="25" t="n">
        <f aca="false">Calc!A12</f>
        <v>16</v>
      </c>
      <c r="B7" s="25" t="n">
        <f aca="false">Calc!E12</f>
        <v>452.173913043478</v>
      </c>
      <c r="C7" s="25" t="n">
        <f aca="false">Calc!F12</f>
        <v>645.962732919255</v>
      </c>
      <c r="D7" s="25" t="n">
        <f aca="false">Calc!G12</f>
        <v>678.260869565218</v>
      </c>
      <c r="E7" s="25" t="n">
        <f aca="false">IF(Inputs!$C$43="","",Inputs!$C$43)</f>
        <v>445</v>
      </c>
      <c r="F7" s="27" t="n">
        <f aca="false">IF(OR(E7="",Calc!$A12=""),"",E7-Calc!$H12)</f>
        <v>-0.491539944313615</v>
      </c>
      <c r="G7" s="28" t="str">
        <f aca="false">IF(F7="","",IF(ABS(F7)&lt;=MAX(Inputs!$C$51,Inputs!$C$52*Calc!$H12),"YES","NO"))</f>
        <v>YES</v>
      </c>
      <c r="H7" s="25" t="n">
        <f aca="false">IF(Inputs!$D$43="","",Inputs!$D$43)</f>
        <v>640</v>
      </c>
      <c r="I7" s="27" t="n">
        <f aca="false">IF(OR(H7="",Calc!$A12=""),"",H7-Calc!$I12)</f>
        <v>3.58351436526618</v>
      </c>
      <c r="J7" s="28" t="str">
        <f aca="false">IF(I7="","",IF(ABS(I7)&lt;=MAX(Inputs!$C$51,Inputs!$C$52*Calc!$I12),"YES","NO"))</f>
        <v>YES</v>
      </c>
      <c r="K7" s="25" t="n">
        <f aca="false">IF(Inputs!$E$43="","",Inputs!$E$43)</f>
        <v>670</v>
      </c>
      <c r="L7" s="27" t="n">
        <f aca="false">IF(OR(K7="",Calc!$A12=""),"",K7-Calc!$J12)</f>
        <v>1.76269008352961</v>
      </c>
      <c r="M7" s="28" t="str">
        <f aca="false">IF(L7="","",IF(ABS(L7)&lt;=MAX(Inputs!$C$51,Inputs!$C$52*Calc!$J12),"YES","NO"))</f>
        <v>YES</v>
      </c>
    </row>
    <row r="8" customFormat="false" ht="15" hidden="false" customHeight="false" outlineLevel="0" collapsed="false">
      <c r="A8" s="25" t="n">
        <f aca="false">Calc!A13</f>
        <v>20</v>
      </c>
      <c r="B8" s="25" t="n">
        <f aca="false">Calc!E13</f>
        <v>565.217391304348</v>
      </c>
      <c r="C8" s="25" t="n">
        <f aca="false">Calc!F13</f>
        <v>807.453416149069</v>
      </c>
      <c r="D8" s="25" t="n">
        <f aca="false">Calc!G13</f>
        <v>847.826086956522</v>
      </c>
      <c r="E8" s="25" t="n">
        <f aca="false">IF(Inputs!$C$44="","",Inputs!$C$44)</f>
        <v>560</v>
      </c>
      <c r="F8" s="27" t="n">
        <f aca="false">IF(OR(E8="",Calc!$A13=""),"",E8-Calc!$H13)</f>
        <v>3.13557506960797</v>
      </c>
      <c r="G8" s="28" t="str">
        <f aca="false">IF(F8="","",IF(ABS(F8)&lt;=MAX(Inputs!$C$51,Inputs!$C$52*Calc!$H13),"YES","NO"))</f>
        <v>YES</v>
      </c>
      <c r="H8" s="25" t="n">
        <f aca="false">IF(Inputs!$D$44="","",Inputs!$D$44)</f>
        <v>800</v>
      </c>
      <c r="I8" s="27" t="n">
        <f aca="false">IF(OR(H8="",Calc!$A13=""),"",H8-Calc!$I13)</f>
        <v>4.47939295658284</v>
      </c>
      <c r="J8" s="28" t="str">
        <f aca="false">IF(I8="","",IF(ABS(I8)&lt;=MAX(Inputs!$C$51,Inputs!$C$52*Calc!$I13),"YES","NO"))</f>
        <v>YES</v>
      </c>
      <c r="K8" s="25" t="n">
        <f aca="false">IF(Inputs!$E$44="","",Inputs!$E$44)</f>
        <v>840</v>
      </c>
      <c r="L8" s="27" t="n">
        <f aca="false">IF(OR(K8="",Calc!$A13=""),"",K8-Calc!$J13)</f>
        <v>4.70336260441195</v>
      </c>
      <c r="M8" s="28" t="str">
        <f aca="false">IF(L8="","",IF(ABS(L8)&lt;=MAX(Inputs!$C$51,Inputs!$C$52*Calc!$J13),"YES","NO"))</f>
        <v>YES</v>
      </c>
    </row>
    <row r="9" customFormat="false" ht="15" hidden="false" customHeight="false" outlineLevel="0" collapsed="false">
      <c r="A9" s="25" t="n">
        <f aca="false">Calc!A14</f>
        <v>25</v>
      </c>
      <c r="B9" s="25" t="n">
        <f aca="false">Calc!E14</f>
        <v>706.521739130435</v>
      </c>
      <c r="C9" s="25" t="n">
        <f aca="false">Calc!F14</f>
        <v>1009.31677018634</v>
      </c>
      <c r="D9" s="25" t="n">
        <f aca="false">Calc!G14</f>
        <v>1059.78260869565</v>
      </c>
      <c r="E9" s="25" t="n">
        <f aca="false">IF(Inputs!$C$45="","",Inputs!$C$45)</f>
        <v>700</v>
      </c>
      <c r="F9" s="27" t="n">
        <f aca="false">IF(OR(E9="",Calc!$A14=""),"",E9-Calc!$H14)</f>
        <v>3.91946883700996</v>
      </c>
      <c r="G9" s="28" t="str">
        <f aca="false">IF(F9="","",IF(ABS(F9)&lt;=MAX(Inputs!$C$51,Inputs!$C$52*Calc!$H14),"YES","NO"))</f>
        <v>YES</v>
      </c>
      <c r="H9" s="25" t="n">
        <f aca="false">IF(Inputs!$D$45="","",Inputs!$D$45)</f>
        <v>1000</v>
      </c>
      <c r="I9" s="27" t="n">
        <f aca="false">IF(OR(H9="",Calc!$A14=""),"",H9-Calc!$I14)</f>
        <v>5.59924119572861</v>
      </c>
      <c r="J9" s="28" t="str">
        <f aca="false">IF(I9="","",IF(ABS(I9)&lt;=MAX(Inputs!$C$51,Inputs!$C$52*Calc!$I14),"YES","NO"))</f>
        <v>YES</v>
      </c>
      <c r="K9" s="25" t="n">
        <f aca="false">IF(Inputs!$E$45="","",Inputs!$E$45)</f>
        <v>1050</v>
      </c>
      <c r="L9" s="27" t="n">
        <f aca="false">IF(OR(K9="",Calc!$A14=""),"",K9-Calc!$J14)</f>
        <v>5.87920325551499</v>
      </c>
      <c r="M9" s="28" t="str">
        <f aca="false">IF(L9="","",IF(ABS(L9)&lt;=MAX(Inputs!$C$51,Inputs!$C$52*Calc!$J14),"YES","NO"))</f>
        <v>YES</v>
      </c>
    </row>
    <row r="10" customFormat="false" ht="15" hidden="false" customHeight="false" outlineLevel="0" collapsed="false">
      <c r="A10" s="25" t="str">
        <f aca="false">Calc!A15</f>
        <v/>
      </c>
      <c r="B10" s="25" t="str">
        <f aca="false">Calc!E15</f>
        <v/>
      </c>
      <c r="C10" s="25" t="str">
        <f aca="false">Calc!F15</f>
        <v/>
      </c>
      <c r="D10" s="25" t="str">
        <f aca="false">Calc!G15</f>
        <v/>
      </c>
      <c r="E10" s="25" t="str">
        <f aca="false">IF(Inputs!$C$46="","",Inputs!$C$46)</f>
        <v/>
      </c>
      <c r="F10" s="27" t="str">
        <f aca="false">IF(OR(E10="",Calc!$A15=""),"",E10-Calc!$H15)</f>
        <v/>
      </c>
      <c r="G10" s="28" t="str">
        <f aca="false">IF(F10="","",IF(ABS(F10)&lt;=MAX(Inputs!$C$51,Inputs!$C$52*Calc!$H15),"YES","NO"))</f>
        <v/>
      </c>
      <c r="H10" s="25" t="str">
        <f aca="false">IF(Inputs!$D$46="","",Inputs!$D$46)</f>
        <v/>
      </c>
      <c r="I10" s="27" t="str">
        <f aca="false">IF(OR(H10="",Calc!$A15=""),"",H10-Calc!$I15)</f>
        <v/>
      </c>
      <c r="J10" s="28" t="str">
        <f aca="false">IF(I10="","",IF(ABS(I10)&lt;=MAX(Inputs!$C$51,Inputs!$C$52*Calc!$I15),"YES","NO"))</f>
        <v/>
      </c>
      <c r="K10" s="25" t="str">
        <f aca="false">IF(Inputs!$E$46="","",Inputs!$E$46)</f>
        <v/>
      </c>
      <c r="L10" s="27" t="str">
        <f aca="false">IF(OR(K10="",Calc!$A15=""),"",K10-Calc!$J15)</f>
        <v/>
      </c>
      <c r="M10" s="28" t="str">
        <f aca="false">IF(L10="","",IF(ABS(L10)&lt;=MAX(Inputs!$C$51,Inputs!$C$52*Calc!$J15),"YES","NO"))</f>
        <v/>
      </c>
    </row>
    <row r="11" customFormat="false" ht="15" hidden="false" customHeight="false" outlineLevel="0" collapsed="false">
      <c r="A11" s="25" t="str">
        <f aca="false">Calc!A16</f>
        <v/>
      </c>
      <c r="B11" s="25" t="str">
        <f aca="false">Calc!E16</f>
        <v/>
      </c>
      <c r="C11" s="25" t="str">
        <f aca="false">Calc!F16</f>
        <v/>
      </c>
      <c r="D11" s="25" t="str">
        <f aca="false">Calc!G16</f>
        <v/>
      </c>
      <c r="E11" s="25" t="str">
        <f aca="false">IF(Inputs!$C$47="","",Inputs!$C$47)</f>
        <v/>
      </c>
      <c r="F11" s="27" t="str">
        <f aca="false">IF(OR(E11="",Calc!$A16=""),"",E11-Calc!$H16)</f>
        <v/>
      </c>
      <c r="G11" s="28" t="str">
        <f aca="false">IF(F11="","",IF(ABS(F11)&lt;=MAX(Inputs!$C$51,Inputs!$C$52*Calc!$H16),"YES","NO"))</f>
        <v/>
      </c>
      <c r="H11" s="25" t="str">
        <f aca="false">IF(Inputs!$D$47="","",Inputs!$D$47)</f>
        <v/>
      </c>
      <c r="I11" s="27" t="str">
        <f aca="false">IF(OR(H11="",Calc!$A16=""),"",H11-Calc!$I16)</f>
        <v/>
      </c>
      <c r="J11" s="28" t="str">
        <f aca="false">IF(I11="","",IF(ABS(I11)&lt;=MAX(Inputs!$C$51,Inputs!$C$52*Calc!$I16),"YES","NO"))</f>
        <v/>
      </c>
      <c r="K11" s="25" t="str">
        <f aca="false">IF(Inputs!$E$47="","",Inputs!$E$47)</f>
        <v/>
      </c>
      <c r="L11" s="27" t="str">
        <f aca="false">IF(OR(K11="",Calc!$A16=""),"",K11-Calc!$J16)</f>
        <v/>
      </c>
      <c r="M11" s="28" t="str">
        <f aca="false">IF(L11="","",IF(ABS(L11)&lt;=MAX(Inputs!$C$51,Inputs!$C$52*Calc!$J16),"YES","NO"))</f>
        <v/>
      </c>
    </row>
    <row r="12" customFormat="false" ht="15" hidden="false" customHeight="false" outlineLevel="0" collapsed="false">
      <c r="A12" s="25" t="str">
        <f aca="false">Calc!A17</f>
        <v/>
      </c>
      <c r="B12" s="25" t="str">
        <f aca="false">Calc!E17</f>
        <v/>
      </c>
      <c r="C12" s="25" t="str">
        <f aca="false">Calc!F17</f>
        <v/>
      </c>
      <c r="D12" s="25" t="str">
        <f aca="false">Calc!G17</f>
        <v/>
      </c>
      <c r="E12" s="25" t="str">
        <f aca="false">IF(Inputs!$C$48="","",Inputs!$C$48)</f>
        <v/>
      </c>
      <c r="F12" s="27" t="str">
        <f aca="false">IF(OR(E12="",Calc!$A17=""),"",E12-Calc!$H17)</f>
        <v/>
      </c>
      <c r="G12" s="28" t="str">
        <f aca="false">IF(F12="","",IF(ABS(F12)&lt;=MAX(Inputs!$C$51,Inputs!$C$52*Calc!$H17),"YES","NO"))</f>
        <v/>
      </c>
      <c r="H12" s="25" t="str">
        <f aca="false">IF(Inputs!$D$48="","",Inputs!$D$48)</f>
        <v/>
      </c>
      <c r="I12" s="27" t="str">
        <f aca="false">IF(OR(H12="",Calc!$A17=""),"",H12-Calc!$I17)</f>
        <v/>
      </c>
      <c r="J12" s="28" t="str">
        <f aca="false">IF(I12="","",IF(ABS(I12)&lt;=MAX(Inputs!$C$51,Inputs!$C$52*Calc!$I17),"YES","NO"))</f>
        <v/>
      </c>
      <c r="K12" s="25" t="str">
        <f aca="false">IF(Inputs!$E$48="","",Inputs!$E$48)</f>
        <v/>
      </c>
      <c r="L12" s="27" t="str">
        <f aca="false">IF(OR(K12="",Calc!$A17=""),"",K12-Calc!$J17)</f>
        <v/>
      </c>
      <c r="M12" s="28" t="str">
        <f aca="false">IF(L12="","",IF(ABS(L12)&lt;=MAX(Inputs!$C$51,Inputs!$C$52*Calc!$J17),"YES","NO"))</f>
        <v/>
      </c>
    </row>
    <row r="14" customFormat="false" ht="15" hidden="false" customHeight="false" outlineLevel="0" collapsed="false">
      <c r="A14" s="8" t="s">
        <v>157</v>
      </c>
      <c r="F14" s="29" t="str">
        <f aca="false">IF(COUNTIF(G5:G12,"NO")+COUNTIF(J5:J12,"NO")+COUNTIF(M5:M12,"NO")=0,"YES","NO")</f>
        <v>YES</v>
      </c>
    </row>
    <row r="15" customFormat="false" ht="15" hidden="false" customHeight="false" outlineLevel="0" collapsed="false">
      <c r="A15" s="14" t="s">
        <v>158</v>
      </c>
    </row>
    <row r="17" customFormat="false" ht="15" hidden="false" customHeight="false" outlineLevel="0" collapsed="false">
      <c r="A17" s="8" t="s">
        <v>159</v>
      </c>
    </row>
    <row r="18" customFormat="false" ht="23.85" hidden="false" customHeight="false" outlineLevel="0" collapsed="false">
      <c r="A18" s="15" t="s">
        <v>147</v>
      </c>
      <c r="B18" s="15" t="s">
        <v>160</v>
      </c>
      <c r="C18" s="15" t="s">
        <v>161</v>
      </c>
      <c r="D18" s="15" t="s">
        <v>162</v>
      </c>
    </row>
    <row r="19" customFormat="false" ht="15" hidden="false" customHeight="false" outlineLevel="0" collapsed="false">
      <c r="A19" s="25" t="n">
        <f aca="false">Calc!A10</f>
        <v>10</v>
      </c>
      <c r="B19" s="25" t="n">
        <f aca="false">IF(A19="","",IF(A19&lt;=16,4,7)*A19)</f>
        <v>40</v>
      </c>
      <c r="C19" s="25" t="n">
        <f aca="false">IF(Inputs!$F$41="","",Inputs!$F$41)</f>
        <v>40</v>
      </c>
      <c r="D19" s="28" t="str">
        <f aca="false">IF(OR(A19="",C19=""),"",IF(B19=C19,"YES","NO - CHECK"))</f>
        <v>YES</v>
      </c>
    </row>
    <row r="20" customFormat="false" ht="15" hidden="false" customHeight="false" outlineLevel="0" collapsed="false">
      <c r="A20" s="25" t="n">
        <f aca="false">Calc!A11</f>
        <v>12</v>
      </c>
      <c r="B20" s="25" t="n">
        <f aca="false">IF(A20="","",IF(A20&lt;=16,4,7)*A20)</f>
        <v>48</v>
      </c>
      <c r="C20" s="25" t="n">
        <f aca="false">IF(Inputs!$F$42="","",Inputs!$F$42)</f>
        <v>48</v>
      </c>
      <c r="D20" s="28" t="str">
        <f aca="false">IF(OR(A20="",C20=""),"",IF(B20=C20,"YES","NO - CHECK"))</f>
        <v>YES</v>
      </c>
    </row>
    <row r="21" customFormat="false" ht="15" hidden="false" customHeight="false" outlineLevel="0" collapsed="false">
      <c r="A21" s="25" t="n">
        <f aca="false">Calc!A12</f>
        <v>16</v>
      </c>
      <c r="B21" s="25" t="n">
        <f aca="false">IF(A21="","",IF(A21&lt;=16,4,7)*A21)</f>
        <v>64</v>
      </c>
      <c r="C21" s="25" t="n">
        <f aca="false">IF(Inputs!$F$43="","",Inputs!$F$43)</f>
        <v>64</v>
      </c>
      <c r="D21" s="28" t="str">
        <f aca="false">IF(OR(A21="",C21=""),"",IF(B21=C21,"YES","NO - CHECK"))</f>
        <v>YES</v>
      </c>
    </row>
    <row r="22" customFormat="false" ht="15" hidden="false" customHeight="false" outlineLevel="0" collapsed="false">
      <c r="A22" s="25" t="n">
        <f aca="false">Calc!A13</f>
        <v>20</v>
      </c>
      <c r="B22" s="25" t="n">
        <f aca="false">IF(A22="","",IF(A22&lt;=16,4,7)*A22)</f>
        <v>140</v>
      </c>
      <c r="C22" s="25" t="n">
        <f aca="false">IF(Inputs!$F$44="","",Inputs!$F$44)</f>
        <v>140</v>
      </c>
      <c r="D22" s="28" t="str">
        <f aca="false">IF(OR(A22="",C22=""),"",IF(B22=C22,"YES","NO - CHECK"))</f>
        <v>YES</v>
      </c>
    </row>
    <row r="23" customFormat="false" ht="15" hidden="false" customHeight="false" outlineLevel="0" collapsed="false">
      <c r="A23" s="25" t="n">
        <f aca="false">Calc!A14</f>
        <v>25</v>
      </c>
      <c r="B23" s="25" t="n">
        <f aca="false">IF(A23="","",IF(A23&lt;=16,4,7)*A23)</f>
        <v>175</v>
      </c>
      <c r="C23" s="25" t="n">
        <f aca="false">IF(Inputs!$F$45="","",Inputs!$F$45)</f>
        <v>175</v>
      </c>
      <c r="D23" s="28" t="str">
        <f aca="false">IF(OR(A23="",C23=""),"",IF(B23=C23,"YES","NO - CHECK"))</f>
        <v>YES</v>
      </c>
    </row>
    <row r="24" customFormat="false" ht="15" hidden="false" customHeight="false" outlineLevel="0" collapsed="false">
      <c r="A24" s="25" t="str">
        <f aca="false">Calc!A15</f>
        <v/>
      </c>
      <c r="B24" s="25" t="str">
        <f aca="false">IF(A24="","",IF(A24&lt;=16,4,7)*A24)</f>
        <v/>
      </c>
      <c r="C24" s="25" t="str">
        <f aca="false">IF(Inputs!$F$46="","",Inputs!$F$46)</f>
        <v/>
      </c>
      <c r="D24" s="28" t="str">
        <f aca="false">IF(OR(A24="",C24=""),"",IF(B24=C24,"YES","NO - CHECK"))</f>
        <v/>
      </c>
    </row>
    <row r="25" customFormat="false" ht="15" hidden="false" customHeight="false" outlineLevel="0" collapsed="false">
      <c r="A25" s="25" t="str">
        <f aca="false">Calc!A16</f>
        <v/>
      </c>
      <c r="B25" s="25" t="str">
        <f aca="false">IF(A25="","",IF(A25&lt;=16,4,7)*A25)</f>
        <v/>
      </c>
      <c r="C25" s="25" t="str">
        <f aca="false">IF(Inputs!$F$47="","",Inputs!$F$47)</f>
        <v/>
      </c>
      <c r="D25" s="28" t="str">
        <f aca="false">IF(OR(A25="",C25=""),"",IF(B25=C25,"YES","NO - CHECK"))</f>
        <v/>
      </c>
    </row>
    <row r="26" customFormat="false" ht="15" hidden="false" customHeight="false" outlineLevel="0" collapsed="false">
      <c r="A26" s="25" t="str">
        <f aca="false">Calc!A17</f>
        <v/>
      </c>
      <c r="B26" s="25" t="str">
        <f aca="false">IF(A26="","",IF(A26&lt;=16,4,7)*A26)</f>
        <v/>
      </c>
      <c r="C26" s="25" t="str">
        <f aca="false">IF(Inputs!$F$48="","",Inputs!$F$48)</f>
        <v/>
      </c>
      <c r="D26" s="28" t="str">
        <f aca="false">IF(OR(A26="",C26=""),"",IF(B26=C26,"YES","NO - CHECK"))</f>
        <v/>
      </c>
    </row>
    <row r="28" customFormat="false" ht="15" hidden="false" customHeight="false" outlineLevel="0" collapsed="false">
      <c r="A28" s="1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3" t="s">
        <v>164</v>
      </c>
    </row>
    <row r="2" customFormat="false" ht="15" hidden="false" customHeight="false" outlineLevel="0" collapsed="false">
      <c r="A2" s="14" t="s">
        <v>165</v>
      </c>
    </row>
    <row r="3" customFormat="false" ht="15" hidden="false" customHeight="false" outlineLevel="0" collapsed="false">
      <c r="B3" s="8" t="s">
        <v>166</v>
      </c>
      <c r="C3" s="3" t="str">
        <f aca="false">IF(AND(Inputs!$C$5="C30/37",Inputs!$C$6=390,Inputs!$C$7="",Inputs!$C$10=1.5,Inputs!$C$11=1.15,Inputs!$C$12=1,Inputs!$C$13=1.5,Inputs!$C$30=10,Inputs!$C$31=12,Inputs!$C$32=16,Inputs!$C$33=20,Inputs!$C$34=25),"YES","NO")</f>
        <v>YES</v>
      </c>
    </row>
    <row r="4" customFormat="false" ht="23.85" hidden="false" customHeight="false" outlineLevel="0" collapsed="false">
      <c r="A4" s="15" t="s">
        <v>167</v>
      </c>
      <c r="B4" s="15" t="s">
        <v>168</v>
      </c>
      <c r="C4" s="15" t="s">
        <v>169</v>
      </c>
      <c r="D4" s="15" t="s">
        <v>170</v>
      </c>
      <c r="E4" s="15" t="s">
        <v>171</v>
      </c>
      <c r="F4" s="15" t="s">
        <v>172</v>
      </c>
      <c r="G4" s="15" t="s">
        <v>173</v>
      </c>
      <c r="H4" s="15" t="s">
        <v>174</v>
      </c>
    </row>
    <row r="5" customFormat="false" ht="15" hidden="false" customHeight="false" outlineLevel="0" collapsed="false">
      <c r="A5" s="4" t="s">
        <v>175</v>
      </c>
      <c r="B5" s="18" t="s">
        <v>176</v>
      </c>
      <c r="C5" s="30" t="n">
        <v>1.333333</v>
      </c>
      <c r="D5" s="31" t="n">
        <f aca="false">Calc!C5</f>
        <v>1.33333333333333</v>
      </c>
      <c r="E5" s="31" t="n">
        <f aca="false">D5-C5</f>
        <v>3.33333333157881E-007</v>
      </c>
      <c r="F5" s="30" t="n">
        <v>1E-005</v>
      </c>
      <c r="G5" s="3" t="str">
        <f aca="false">IF($C$3&lt;&gt;"YES","N/A - inputs changed",IF(ABS(E5)&lt;=F5,"PASS","FAIL"))</f>
        <v>PASS</v>
      </c>
      <c r="H5" s="4" t="s">
        <v>177</v>
      </c>
    </row>
    <row r="6" customFormat="false" ht="15" hidden="false" customHeight="false" outlineLevel="0" collapsed="false">
      <c r="A6" s="4" t="s">
        <v>178</v>
      </c>
      <c r="B6" s="18" t="s">
        <v>179</v>
      </c>
      <c r="C6" s="30" t="n">
        <v>339.130435</v>
      </c>
      <c r="D6" s="31" t="n">
        <f aca="false">Calc!C6</f>
        <v>339.130434782609</v>
      </c>
      <c r="E6" s="31" t="n">
        <f aca="false">D6-C6</f>
        <v>-2.17391232126829E-007</v>
      </c>
      <c r="F6" s="30" t="n">
        <v>0.0001</v>
      </c>
      <c r="G6" s="3" t="str">
        <f aca="false">IF($C$3&lt;&gt;"YES","N/A - inputs changed",IF(ABS(E6)&lt;=F6,"PASS","FAIL"))</f>
        <v>PASS</v>
      </c>
      <c r="H6" s="4" t="s">
        <v>180</v>
      </c>
    </row>
    <row r="7" customFormat="false" ht="15" hidden="false" customHeight="false" outlineLevel="0" collapsed="false">
      <c r="A7" s="4" t="s">
        <v>181</v>
      </c>
      <c r="B7" s="18" t="s">
        <v>182</v>
      </c>
      <c r="C7" s="30" t="n">
        <v>3</v>
      </c>
      <c r="D7" s="31" t="n">
        <f aca="false">Calc!C11</f>
        <v>3</v>
      </c>
      <c r="E7" s="31" t="n">
        <f aca="false">D7-C7</f>
        <v>0</v>
      </c>
      <c r="F7" s="30" t="n">
        <v>1E-005</v>
      </c>
      <c r="G7" s="3" t="str">
        <f aca="false">IF($C$3&lt;&gt;"YES","N/A - inputs changed",IF(ABS(E7)&lt;=F7,"PASS","FAIL"))</f>
        <v>PASS</v>
      </c>
      <c r="H7" s="4" t="s">
        <v>183</v>
      </c>
    </row>
    <row r="8" customFormat="false" ht="15" hidden="false" customHeight="false" outlineLevel="0" collapsed="false">
      <c r="A8" s="4" t="s">
        <v>184</v>
      </c>
      <c r="B8" s="18" t="s">
        <v>185</v>
      </c>
      <c r="C8" s="30" t="n">
        <v>2.1</v>
      </c>
      <c r="D8" s="31" t="n">
        <f aca="false">Calc!D11</f>
        <v>2.1</v>
      </c>
      <c r="E8" s="31" t="n">
        <f aca="false">D8-C8</f>
        <v>0</v>
      </c>
      <c r="F8" s="30" t="n">
        <v>1E-005</v>
      </c>
      <c r="G8" s="3" t="str">
        <f aca="false">IF($C$3&lt;&gt;"YES","N/A - inputs changed",IF(ABS(E8)&lt;=F8,"PASS","FAIL"))</f>
        <v>PASS</v>
      </c>
      <c r="H8" s="4" t="s">
        <v>186</v>
      </c>
    </row>
    <row r="9" customFormat="false" ht="15" hidden="false" customHeight="false" outlineLevel="0" collapsed="false">
      <c r="A9" s="4" t="s">
        <v>187</v>
      </c>
      <c r="B9" s="18" t="s">
        <v>188</v>
      </c>
      <c r="C9" s="30" t="n">
        <v>339.130435</v>
      </c>
      <c r="D9" s="31" t="n">
        <f aca="false">Calc!E11</f>
        <v>339.130434782609</v>
      </c>
      <c r="E9" s="31" t="n">
        <f aca="false">D9-C9</f>
        <v>-2.17391232126829E-007</v>
      </c>
      <c r="F9" s="30" t="n">
        <v>0.001</v>
      </c>
      <c r="G9" s="3" t="str">
        <f aca="false">IF($C$3&lt;&gt;"YES","N/A - inputs changed",IF(ABS(E9)&lt;=F9,"PASS","FAIL"))</f>
        <v>PASS</v>
      </c>
      <c r="H9" s="4" t="s">
        <v>189</v>
      </c>
    </row>
    <row r="10" customFormat="false" ht="15" hidden="false" customHeight="false" outlineLevel="0" collapsed="false">
      <c r="A10" s="4" t="s">
        <v>190</v>
      </c>
      <c r="B10" s="18" t="s">
        <v>191</v>
      </c>
      <c r="C10" s="30" t="n">
        <v>484.47205</v>
      </c>
      <c r="D10" s="31" t="n">
        <f aca="false">Calc!F11</f>
        <v>484.472049689441</v>
      </c>
      <c r="E10" s="31" t="n">
        <f aca="false">D10-C10</f>
        <v>-3.10558903038327E-007</v>
      </c>
      <c r="F10" s="30" t="n">
        <v>0.001</v>
      </c>
      <c r="G10" s="3" t="str">
        <f aca="false">IF($C$3&lt;&gt;"YES","N/A - inputs changed",IF(ABS(E10)&lt;=F10,"PASS","FAIL"))</f>
        <v>PASS</v>
      </c>
      <c r="H10" s="4" t="s">
        <v>192</v>
      </c>
    </row>
    <row r="11" customFormat="false" ht="15" hidden="false" customHeight="false" outlineLevel="0" collapsed="false">
      <c r="A11" s="4" t="s">
        <v>193</v>
      </c>
      <c r="B11" s="18" t="s">
        <v>194</v>
      </c>
      <c r="C11" s="30" t="n">
        <v>508.695652</v>
      </c>
      <c r="D11" s="31" t="n">
        <f aca="false">Calc!G11</f>
        <v>508.695652173913</v>
      </c>
      <c r="E11" s="31" t="n">
        <f aca="false">D11-C11</f>
        <v>1.73913122125668E-007</v>
      </c>
      <c r="F11" s="30" t="n">
        <v>0.001</v>
      </c>
      <c r="G11" s="3" t="str">
        <f aca="false">IF($C$3&lt;&gt;"YES","N/A - inputs changed",IF(ABS(E11)&lt;=F11,"PASS","FAIL"))</f>
        <v>PASS</v>
      </c>
      <c r="H11" s="4" t="s">
        <v>195</v>
      </c>
    </row>
    <row r="12" customFormat="false" ht="15" hidden="false" customHeight="false" outlineLevel="0" collapsed="false">
      <c r="A12" s="4" t="s">
        <v>196</v>
      </c>
      <c r="B12" s="18" t="s">
        <v>197</v>
      </c>
      <c r="C12" s="30" t="n">
        <v>706.521739</v>
      </c>
      <c r="D12" s="31" t="n">
        <f aca="false">Calc!E14</f>
        <v>706.521739130435</v>
      </c>
      <c r="E12" s="31" t="n">
        <f aca="false">D12-C12</f>
        <v>1.30434841594251E-007</v>
      </c>
      <c r="F12" s="30" t="n">
        <v>0.001</v>
      </c>
      <c r="G12" s="3" t="str">
        <f aca="false">IF($C$3&lt;&gt;"YES","N/A - inputs changed",IF(ABS(E12)&lt;=F12,"PASS","FAIL"))</f>
        <v>PASS</v>
      </c>
      <c r="H12" s="4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5" t="s">
        <v>199</v>
      </c>
      <c r="B1" s="15" t="s">
        <v>200</v>
      </c>
      <c r="C1" s="15" t="s">
        <v>201</v>
      </c>
    </row>
    <row r="2" customFormat="false" ht="23.85" hidden="false" customHeight="false" outlineLevel="0" collapsed="false">
      <c r="A2" s="4" t="s">
        <v>13</v>
      </c>
      <c r="B2" s="18" t="s">
        <v>202</v>
      </c>
      <c r="C2" s="4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2026-10-14T04:53:26Z</dcterms:created>
  <dc:creator>openpyxl</dc:creator>
  <dc:description/>
  <dc:language>en-US</dc:language>
  <cp:lastModifiedBy/>
  <dcterms:modified xsi:type="dcterms:W3CDTF">2026-10-14T04:53:26Z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